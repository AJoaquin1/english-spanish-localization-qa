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oaquinamores/PycharmProjects/english-spanish-localization-qa/analysis/"/>
    </mc:Choice>
  </mc:AlternateContent>
  <xr:revisionPtr revIDLastSave="0" documentId="13_ncr:1_{A6A1069D-6DDF-A540-A7E8-40C03C8A135B}" xr6:coauthVersionLast="47" xr6:coauthVersionMax="47" xr10:uidLastSave="{00000000-0000-0000-0000-000000000000}"/>
  <bookViews>
    <workbookView xWindow="0" yWindow="500" windowWidth="35840" windowHeight="20360" activeTab="5" xr2:uid="{00000000-000D-0000-FFFF-FFFF00000000}"/>
  </bookViews>
  <sheets>
    <sheet name="Raw_Client_Data" sheetId="1" r:id="rId1"/>
    <sheet name="Client_Brief" sheetId="2" r:id="rId2"/>
    <sheet name="QA_Review" sheetId="3" r:id="rId3"/>
    <sheet name="Terminology_Style_Guide" sheetId="4" r:id="rId4"/>
    <sheet name="QA_Analysis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6" l="1"/>
  <c r="G15" i="6"/>
  <c r="G14" i="6"/>
  <c r="A14" i="6"/>
  <c r="G13" i="6"/>
  <c r="B13" i="6"/>
  <c r="A13" i="6"/>
  <c r="G12" i="6"/>
  <c r="B12" i="6"/>
  <c r="A12" i="6"/>
  <c r="G11" i="6"/>
  <c r="A11" i="6"/>
  <c r="G10" i="6"/>
  <c r="A10" i="6"/>
  <c r="G9" i="6"/>
  <c r="B9" i="6"/>
  <c r="A9" i="6"/>
  <c r="G8" i="6"/>
  <c r="E8" i="6"/>
  <c r="D8" i="6"/>
  <c r="B8" i="6"/>
  <c r="A8" i="6"/>
  <c r="G7" i="6"/>
  <c r="D7" i="6"/>
  <c r="A7" i="6"/>
  <c r="H6" i="6"/>
  <c r="G6" i="6"/>
  <c r="E6" i="6"/>
  <c r="D6" i="6"/>
  <c r="B6" i="6"/>
  <c r="A6" i="6"/>
  <c r="F21" i="5"/>
  <c r="G21" i="5" s="1"/>
  <c r="H16" i="6" s="1"/>
  <c r="E21" i="5"/>
  <c r="F20" i="5"/>
  <c r="G20" i="5" s="1"/>
  <c r="H15" i="6" s="1"/>
  <c r="E20" i="5"/>
  <c r="F19" i="5"/>
  <c r="G19" i="5" s="1"/>
  <c r="H14" i="6" s="1"/>
  <c r="E19" i="5"/>
  <c r="B19" i="5"/>
  <c r="B14" i="6" s="1"/>
  <c r="F18" i="5"/>
  <c r="G18" i="5" s="1"/>
  <c r="H13" i="6" s="1"/>
  <c r="E18" i="5"/>
  <c r="B18" i="5"/>
  <c r="F17" i="5"/>
  <c r="G17" i="5" s="1"/>
  <c r="H12" i="6" s="1"/>
  <c r="E17" i="5"/>
  <c r="B17" i="5"/>
  <c r="F16" i="5"/>
  <c r="G16" i="5" s="1"/>
  <c r="H11" i="6" s="1"/>
  <c r="E16" i="5"/>
  <c r="B16" i="5"/>
  <c r="B11" i="6" s="1"/>
  <c r="F15" i="5"/>
  <c r="G15" i="5" s="1"/>
  <c r="H10" i="6" s="1"/>
  <c r="E15" i="5"/>
  <c r="B15" i="5"/>
  <c r="B10" i="6" s="1"/>
  <c r="F14" i="5"/>
  <c r="G14" i="5" s="1"/>
  <c r="H9" i="6" s="1"/>
  <c r="E14" i="5"/>
  <c r="B14" i="5"/>
  <c r="F13" i="5"/>
  <c r="G13" i="5" s="1"/>
  <c r="H8" i="6" s="1"/>
  <c r="E13" i="5"/>
  <c r="B13" i="5"/>
  <c r="F12" i="5"/>
  <c r="G12" i="5" s="1"/>
  <c r="H7" i="6" s="1"/>
  <c r="E12" i="5"/>
  <c r="B12" i="5"/>
  <c r="B7" i="6" s="1"/>
  <c r="E6" i="5"/>
  <c r="B6" i="5"/>
  <c r="B8" i="5" s="1"/>
  <c r="E5" i="5"/>
  <c r="B5" i="5"/>
  <c r="B7" i="5" s="1"/>
  <c r="J3" i="6" s="1"/>
  <c r="E4" i="5"/>
  <c r="E7" i="6" s="1"/>
  <c r="B4" i="5"/>
  <c r="A3" i="6" s="1"/>
  <c r="D3" i="6" l="1"/>
  <c r="G3" i="6"/>
</calcChain>
</file>

<file path=xl/sharedStrings.xml><?xml version="1.0" encoding="utf-8"?>
<sst xmlns="http://schemas.openxmlformats.org/spreadsheetml/2006/main" count="1086" uniqueCount="421">
  <si>
    <t>String_ID</t>
  </si>
  <si>
    <t>Category</t>
  </si>
  <si>
    <t>English_Source</t>
  </si>
  <si>
    <t>Spanish_Provided</t>
  </si>
  <si>
    <t>LOC-001</t>
  </si>
  <si>
    <t>Account</t>
  </si>
  <si>
    <t>Welcome back, {first_name}!</t>
  </si>
  <si>
    <t>¡Bienvenido de nuevo, {first_name}!</t>
  </si>
  <si>
    <t>LOC-002</t>
  </si>
  <si>
    <t>Create your account to continue.</t>
  </si>
  <si>
    <t>Crea tu cuenta para continuar.</t>
  </si>
  <si>
    <t>LOC-003</t>
  </si>
  <si>
    <t>Your password must contain at least 8 characters.</t>
  </si>
  <si>
    <t>Su contraseña debe contener al menos 8 caracteres.</t>
  </si>
  <si>
    <t>LOC-004</t>
  </si>
  <si>
    <t>We couldn't verify your email address.</t>
  </si>
  <si>
    <t>No pudimos verificar su dirección de correo electrónico.</t>
  </si>
  <si>
    <t>LOC-005</t>
  </si>
  <si>
    <t>Please confirm your email to activate your account.</t>
  </si>
  <si>
    <t>Por favor confirma tu correo electrónico para activar su cuenta.</t>
  </si>
  <si>
    <t>LOC-006</t>
  </si>
  <si>
    <t>Your account has been successfully created.</t>
  </si>
  <si>
    <t>Su cuenta ha sido creada exitosamente.</t>
  </si>
  <si>
    <t>LOC-007</t>
  </si>
  <si>
    <t>Sign in with your email and password.</t>
  </si>
  <si>
    <t>Inicie sesión con su correo electrónico y contraseña.</t>
  </si>
  <si>
    <t>LOC-008</t>
  </si>
  <si>
    <t>Forgot your password?</t>
  </si>
  <si>
    <t>¿Olvidó su contraseña?</t>
  </si>
  <si>
    <t>LOC-009</t>
  </si>
  <si>
    <t>We'll send a reset link to {email}.</t>
  </si>
  <si>
    <t>Enviaremos un enlace de restablecimiento a {email}.</t>
  </si>
  <si>
    <t>LOC-010</t>
  </si>
  <si>
    <t>This reset link expires in 30 minutes.</t>
  </si>
  <si>
    <t>Este enlace de reinicio expira en 30 minutos.</t>
  </si>
  <si>
    <t>LOC-011</t>
  </si>
  <si>
    <t>Orders</t>
  </si>
  <si>
    <t>Your order #{order_number} has been confirmed.</t>
  </si>
  <si>
    <t>Su orden #{order_number} ha sido confirmada.</t>
  </si>
  <si>
    <t>LOC-012</t>
  </si>
  <si>
    <t>We're preparing your order.</t>
  </si>
  <si>
    <t>Estamos preparando su pedido.</t>
  </si>
  <si>
    <t>LOC-013</t>
  </si>
  <si>
    <t>View order details</t>
  </si>
  <si>
    <t>Ver detalles de la orden</t>
  </si>
  <si>
    <t>LOC-014</t>
  </si>
  <si>
    <t>Your order is on its way!</t>
  </si>
  <si>
    <t>¡Tu pedido está en camino!</t>
  </si>
  <si>
    <t>LOC-015</t>
  </si>
  <si>
    <t>Your package was delivered on {date}.</t>
  </si>
  <si>
    <t>Su paquete fue entregado el {date}.</t>
  </si>
  <si>
    <t>LOC-016</t>
  </si>
  <si>
    <t>We couldn't deliver your package.</t>
  </si>
  <si>
    <t>No pudimos entregar su paquete.</t>
  </si>
  <si>
    <t>LOC-017</t>
  </si>
  <si>
    <t>Track your shipment</t>
  </si>
  <si>
    <t>Rastrear su envío</t>
  </si>
  <si>
    <t>LOC-018</t>
  </si>
  <si>
    <t>Your order contains {item_count} items.</t>
  </si>
  <si>
    <t>Su pedido contiene {item_count} artículos.</t>
  </si>
  <si>
    <t>LOC-019</t>
  </si>
  <si>
    <t>One or more items are currently unavailable.</t>
  </si>
  <si>
    <t>Uno o más ítems están actualmente no disponibles.</t>
  </si>
  <si>
    <t>LOC-020</t>
  </si>
  <si>
    <t>Cancel order</t>
  </si>
  <si>
    <t>Cancelar pedido</t>
  </si>
  <si>
    <t>LOC-021</t>
  </si>
  <si>
    <t>Checkout</t>
  </si>
  <si>
    <t>Proceed to checkout</t>
  </si>
  <si>
    <t>Proceder al checkout</t>
  </si>
  <si>
    <t>LOC-022</t>
  </si>
  <si>
    <t>Enter your shipping address.</t>
  </si>
  <si>
    <t>Ingrese su dirección de envío.</t>
  </si>
  <si>
    <t>LOC-023</t>
  </si>
  <si>
    <t>Billing address is the same as shipping address.</t>
  </si>
  <si>
    <t>La dirección de facturación es la misma que la dirección de envío.</t>
  </si>
  <si>
    <t>LOC-024</t>
  </si>
  <si>
    <t>Choose a payment method.</t>
  </si>
  <si>
    <t>Elija un método de pago.</t>
  </si>
  <si>
    <t>LOC-025</t>
  </si>
  <si>
    <t>Your payment could not be processed.</t>
  </si>
  <si>
    <t>Su pago no pudo ser procesado.</t>
  </si>
  <si>
    <t>LOC-026</t>
  </si>
  <si>
    <t>Please check your card details and try again.</t>
  </si>
  <si>
    <t>Por favor revise los detalles de su tarjeta e intente otra vez.</t>
  </si>
  <si>
    <t>LOC-027</t>
  </si>
  <si>
    <t>Apply promo code</t>
  </si>
  <si>
    <t>Aplicar código promocional</t>
  </si>
  <si>
    <t>LOC-028</t>
  </si>
  <si>
    <t>Your promo code has expired.</t>
  </si>
  <si>
    <t>Su código de promoción ha expirado.</t>
  </si>
  <si>
    <t>LOC-029</t>
  </si>
  <si>
    <t>Place order</t>
  </si>
  <si>
    <t>Colocar orden</t>
  </si>
  <si>
    <t>LOC-030</t>
  </si>
  <si>
    <t>By placing your order, you agree to our Terms of Service.</t>
  </si>
  <si>
    <t>Al realizar su pedido, acepta nuestros Términos de Servicio.</t>
  </si>
  <si>
    <t>LOC-031</t>
  </si>
  <si>
    <t>Shipping</t>
  </si>
  <si>
    <t>Standard shipping: 3–5 business days</t>
  </si>
  <si>
    <t>Envío estándar: 3–5 días de negocio</t>
  </si>
  <si>
    <t>LOC-032</t>
  </si>
  <si>
    <t>Express shipping is available for $14.99.</t>
  </si>
  <si>
    <t>Envío express está disponible por $14.99.</t>
  </si>
  <si>
    <t>LOC-033</t>
  </si>
  <si>
    <t>Free shipping on orders over $50.</t>
  </si>
  <si>
    <t>Envío gratis en órdenes sobre $50.</t>
  </si>
  <si>
    <t>LOC-034</t>
  </si>
  <si>
    <t>Estimated delivery: {delivery_date}</t>
  </si>
  <si>
    <t>Entrega estimada: {delivery_date}</t>
  </si>
  <si>
    <t>LOC-035</t>
  </si>
  <si>
    <t>Shipping is not available to this address.</t>
  </si>
  <si>
    <t>El envío no está disponible para esta dirección.</t>
  </si>
  <si>
    <t>LOC-036</t>
  </si>
  <si>
    <t>Your tracking number is {tracking_number}.</t>
  </si>
  <si>
    <t>Su número de seguimiento es {tracking_number}.</t>
  </si>
  <si>
    <t>LOC-037</t>
  </si>
  <si>
    <t>The carrier may require a signature.</t>
  </si>
  <si>
    <t>El transportista puede requerir una firma.</t>
  </si>
  <si>
    <t>LOC-038</t>
  </si>
  <si>
    <t>Delivery times may vary during holidays.</t>
  </si>
  <si>
    <t>Los tiempos de entrega pueden variar durante los días festivos.</t>
  </si>
  <si>
    <t>LOC-039</t>
  </si>
  <si>
    <t>Returns &amp; Refunds</t>
  </si>
  <si>
    <t>You have 30 days to return this item.</t>
  </si>
  <si>
    <t>Tiene 30 días para devolver este artículo.</t>
  </si>
  <si>
    <t>LOC-040</t>
  </si>
  <si>
    <t>Start a return</t>
  </si>
  <si>
    <t>Comenzar una devolución</t>
  </si>
  <si>
    <t>LOC-041</t>
  </si>
  <si>
    <t>Your return request has been received.</t>
  </si>
  <si>
    <t>Su solicitud de devolución ha sido recibida.</t>
  </si>
  <si>
    <t>LOC-042</t>
  </si>
  <si>
    <t>Your refund of $25.00 has been issued.</t>
  </si>
  <si>
    <t>Su reembolso de $25.00 ha sido emitido.</t>
  </si>
  <si>
    <t>LOC-043</t>
  </si>
  <si>
    <t>Refunds may take 5–10 business days to appear.</t>
  </si>
  <si>
    <t>Los reembolsos pueden tomar 5–10 días laborales para aparecer.</t>
  </si>
  <si>
    <t>LOC-044</t>
  </si>
  <si>
    <t>This item is not eligible for return.</t>
  </si>
  <si>
    <t>Este artículo no es elegible para devolución.</t>
  </si>
  <si>
    <t>LOC-045</t>
  </si>
  <si>
    <t>Return shipping fees may apply.</t>
  </si>
  <si>
    <t>Tarifas de envío de devolución pueden aplicar.</t>
  </si>
  <si>
    <t>LOC-046</t>
  </si>
  <si>
    <t>We'll notify you when we receive your return.</t>
  </si>
  <si>
    <t>Le notificaremos cuando recibamos su devolución.</t>
  </si>
  <si>
    <t>LOC-047</t>
  </si>
  <si>
    <t>Subscriptions</t>
  </si>
  <si>
    <t>Your subscription renews on {renewal_date}.</t>
  </si>
  <si>
    <t>Su suscripción se renueva el {renewal_date}.</t>
  </si>
  <si>
    <t>LOC-048</t>
  </si>
  <si>
    <t>Manage subscription</t>
  </si>
  <si>
    <t>Manejar suscripción</t>
  </si>
  <si>
    <t>LOC-049</t>
  </si>
  <si>
    <t>Cancel your subscription at any time.</t>
  </si>
  <si>
    <t>Cancele su suscripción en cualquier momento.</t>
  </si>
  <si>
    <t>LOC-050</t>
  </si>
  <si>
    <t>Your subscription has been cancelled.</t>
  </si>
  <si>
    <t>Su suscripción ha sido cancelada.</t>
  </si>
  <si>
    <t>LOC-051</t>
  </si>
  <si>
    <t>Your next payment is $9.99.</t>
  </si>
  <si>
    <t>Su próximo pago es $9.99.</t>
  </si>
  <si>
    <t>LOC-052</t>
  </si>
  <si>
    <t>Your plan includes unlimited access.</t>
  </si>
  <si>
    <t>Su plan incluye acceso ilimitado.</t>
  </si>
  <si>
    <t>LOC-053</t>
  </si>
  <si>
    <t>Upgrade your plan</t>
  </si>
  <si>
    <t>Mejore su plan</t>
  </si>
  <si>
    <t>LOC-054</t>
  </si>
  <si>
    <t>Your free trial ends in {days_remaining} days.</t>
  </si>
  <si>
    <t>Su prueba gratis termina en {days_remaining} días.</t>
  </si>
  <si>
    <t>LOC-055</t>
  </si>
  <si>
    <t>Customer Support</t>
  </si>
  <si>
    <t>How can we help you today?</t>
  </si>
  <si>
    <t>¿Cómo podemos ayudarte hoy?</t>
  </si>
  <si>
    <t>LOC-056</t>
  </si>
  <si>
    <t>Contact our support team.</t>
  </si>
  <si>
    <t>Contacte nuestro equipo de soporte.</t>
  </si>
  <si>
    <t>LOC-057</t>
  </si>
  <si>
    <t>Our team usually replies within 24 hours.</t>
  </si>
  <si>
    <t>Nuestro equipo usualmente responde dentro de 24 horas.</t>
  </si>
  <si>
    <t>LOC-058</t>
  </si>
  <si>
    <t>Your support request is #{ticket_number}.</t>
  </si>
  <si>
    <t>Su solicitud de soporte es #{ticket_number}.</t>
  </si>
  <si>
    <t>LOC-059</t>
  </si>
  <si>
    <t>Please describe the issue you're experiencing.</t>
  </si>
  <si>
    <t>Por favor describa el problema que está experimentando.</t>
  </si>
  <si>
    <t>LOC-060</t>
  </si>
  <si>
    <t>Attach a screenshot (optional).</t>
  </si>
  <si>
    <t>Adjunte una captura de pantalla (opcional).</t>
  </si>
  <si>
    <t>LOC-061</t>
  </si>
  <si>
    <t>Chat with us</t>
  </si>
  <si>
    <t>Chatea con nosotros</t>
  </si>
  <si>
    <t>LOC-062</t>
  </si>
  <si>
    <t>This conversation has ended.</t>
  </si>
  <si>
    <t>Esta conversación ha terminado.</t>
  </si>
  <si>
    <t>LOC-063</t>
  </si>
  <si>
    <t>Security &amp; Privacy</t>
  </si>
  <si>
    <t>We take your privacy seriously.</t>
  </si>
  <si>
    <t>Tomamos su privacidad seriamente.</t>
  </si>
  <si>
    <t>LOC-064</t>
  </si>
  <si>
    <t>Never share your password with anyone.</t>
  </si>
  <si>
    <t>Nunca comparta su contraseña con nadie.</t>
  </si>
  <si>
    <t>LOC-065</t>
  </si>
  <si>
    <t>We detected a new sign-in to your account.</t>
  </si>
  <si>
    <t>Detectamos un nuevo inicio de sesión en su cuenta.</t>
  </si>
  <si>
    <t>LOC-066</t>
  </si>
  <si>
    <t>If this wasn't you, secure your account now.</t>
  </si>
  <si>
    <t>Si esto no fue usted, asegure su cuenta ahora.</t>
  </si>
  <si>
    <t>LOC-067</t>
  </si>
  <si>
    <t>Enable two-factor authentication for extra security.</t>
  </si>
  <si>
    <t>Habilite la autenticación de dos factores para seguridad extra.</t>
  </si>
  <si>
    <t>LOC-068</t>
  </si>
  <si>
    <t>Review our Privacy Policy.</t>
  </si>
  <si>
    <t>Revise nuestra Política de Privacidad.</t>
  </si>
  <si>
    <t>LOC-069</t>
  </si>
  <si>
    <t>Notifications</t>
  </si>
  <si>
    <t>You have {notification_count} new notifications.</t>
  </si>
  <si>
    <t>Tiene {notification_count} nuevas notificaciones.</t>
  </si>
  <si>
    <t>LOC-070</t>
  </si>
  <si>
    <t>Turn on notifications to stay updated.</t>
  </si>
  <si>
    <t>Prenda las notificaciones para mantenerse actualizado.</t>
  </si>
  <si>
    <t>LOC-071</t>
  </si>
  <si>
    <t>Your notification preferences have been saved.</t>
  </si>
  <si>
    <t>Sus preferencias de notificación han sido guardadas.</t>
  </si>
  <si>
    <t>LOC-072</t>
  </si>
  <si>
    <t>You can change these settings at any time.</t>
  </si>
  <si>
    <t>Puede cambiar estas configuraciones en cualquier momento.</t>
  </si>
  <si>
    <t>LOC-073</t>
  </si>
  <si>
    <t>General</t>
  </si>
  <si>
    <t>Something went wrong. Please try again.</t>
  </si>
  <si>
    <t>Algo salió mal. Por favor, inténtelo de nuevo.</t>
  </si>
  <si>
    <t>LOC-074</t>
  </si>
  <si>
    <t>Learn more</t>
  </si>
  <si>
    <t>Aprender más</t>
  </si>
  <si>
    <t>LOC-075</t>
  </si>
  <si>
    <t>Changes saved successfully.</t>
  </si>
  <si>
    <t>Cambios guardados exitosamente.</t>
  </si>
  <si>
    <t>Localization QA — Client Brief</t>
  </si>
  <si>
    <t>Project</t>
  </si>
  <si>
    <t>English–Spanish Localization &amp; Data Quality Analysis</t>
  </si>
  <si>
    <t>Client scenario</t>
  </si>
  <si>
    <t>A fictional U.S. digital commerce company is preparing customer-facing content for Spanish-speaking customers in the U.S. and Latin America.</t>
  </si>
  <si>
    <t>Target locale</t>
  </si>
  <si>
    <t>Neutral Latin American Spanish / U.S. Hispanic audience</t>
  </si>
  <si>
    <t>Preferred register</t>
  </si>
  <si>
    <t>Professional customer-facing Spanish using “usted” consistently</t>
  </si>
  <si>
    <t>Assignment</t>
  </si>
  <si>
    <t>Review the supplied Spanish translations for accuracy, naturalness, terminology consistency, tone, completeness, formatting, and localization quality.</t>
  </si>
  <si>
    <t>Important</t>
  </si>
  <si>
    <t>Some translations are correct. Others contain intentional issues. Do not assume every row needs a correction.</t>
  </si>
  <si>
    <t>Variables</t>
  </si>
  <si>
    <t>Preserve placeholders such as {first_name}, {date}, {order_number}, and {tracking_number} exactly.</t>
  </si>
  <si>
    <t>Next deliverable</t>
  </si>
  <si>
    <t>Create a reviewed QA dataset with corrected Spanish, QA status, error type, severity, and reviewer notes.</t>
  </si>
  <si>
    <t>Corrected_Spanish</t>
  </si>
  <si>
    <t>QA_Status</t>
  </si>
  <si>
    <t>Error_Type</t>
  </si>
  <si>
    <t>Severity</t>
  </si>
  <si>
    <t>Reviewer_Note</t>
  </si>
  <si>
    <t>Approved</t>
  </si>
  <si>
    <t>None</t>
  </si>
  <si>
    <t>Accurate and natural; placeholder preserved.</t>
  </si>
  <si>
    <t>Cree su cuenta para continuar.</t>
  </si>
  <si>
    <t>Corrected</t>
  </si>
  <si>
    <t>Tone/Register</t>
  </si>
  <si>
    <t>Major</t>
  </si>
  <si>
    <t>Changed informal imperative to the established usted register.</t>
  </si>
  <si>
    <t>Accurate, clear, and consistent with the style guide.</t>
  </si>
  <si>
    <t>Accurate and professional.</t>
  </si>
  <si>
    <t>Confirme su correo electrónico para activar su cuenta.</t>
  </si>
  <si>
    <t>Corrected mixed tú/usted register and removed unnecessary 'Por favor'.</t>
  </si>
  <si>
    <t>Su cuenta se ha creado correctamente.</t>
  </si>
  <si>
    <t>Naturalness</t>
  </si>
  <si>
    <t>Minor</t>
  </si>
  <si>
    <t>Replaced calque-like 'creada exitosamente' with more natural neutral Spanish.</t>
  </si>
  <si>
    <t>Accurate and consistent.</t>
  </si>
  <si>
    <t>Correct professional register.</t>
  </si>
  <si>
    <t>Enviaremos un enlace para restablecer su contraseña a {email}.</t>
  </si>
  <si>
    <t>Accuracy</t>
  </si>
  <si>
    <t>Clarified what is being reset while preserving the placeholder.</t>
  </si>
  <si>
    <t>Este enlace para restablecer la contraseña vence en 30 minutos.</t>
  </si>
  <si>
    <t>Terminology</t>
  </si>
  <si>
    <t>Standardized reset terminology and used natural 'vence' for link expiration.</t>
  </si>
  <si>
    <t>Su pedido #{order_number} ha sido confirmado.</t>
  </si>
  <si>
    <t>Standardized 'order' as 'pedido'.</t>
  </si>
  <si>
    <t>Accurate and terminology-compliant.</t>
  </si>
  <si>
    <t>Ver detalles del pedido</t>
  </si>
  <si>
    <t>¡Su pedido está en camino!</t>
  </si>
  <si>
    <t>Changed informal 'tu' to the established usted register.</t>
  </si>
  <si>
    <t>Accurate; placeholder preserved.</t>
  </si>
  <si>
    <t>Accurate and natural.</t>
  </si>
  <si>
    <t>Appropriate neutral LATAM wording.</t>
  </si>
  <si>
    <t>Uno o más artículos no están disponibles actualmente.</t>
  </si>
  <si>
    <t>Replaced anglicized 'ítems' construction with more natural customer-facing Spanish.</t>
  </si>
  <si>
    <t>Clear UI label and terminology-compliant.</t>
  </si>
  <si>
    <t>Finalizar compra</t>
  </si>
  <si>
    <t>Localized 'checkout' instead of leaving the English term.</t>
  </si>
  <si>
    <t>Accurate.</t>
  </si>
  <si>
    <t>No pudimos procesar su pago.</t>
  </si>
  <si>
    <t>Used a more direct and natural customer-facing active construction.</t>
  </si>
  <si>
    <t>Revise los datos de su tarjeta e inténtelo de nuevo.</t>
  </si>
  <si>
    <t>Improved naturalness and standardized customer-facing wording.</t>
  </si>
  <si>
    <t>Accurate UI terminology.</t>
  </si>
  <si>
    <t>Su código promocional ha vencido.</t>
  </si>
  <si>
    <t>Standardized 'promo code' terminology and natural expiration wording.</t>
  </si>
  <si>
    <t>Realizar pedido</t>
  </si>
  <si>
    <t>Replaced literal 'colocar orden' with standard e-commerce Spanish.</t>
  </si>
  <si>
    <t>Al realizar su pedido, acepta nuestros Términos de servicio.</t>
  </si>
  <si>
    <t>Formatting</t>
  </si>
  <si>
    <t>Standardized sentence-style capitalization for the generic policy name.</t>
  </si>
  <si>
    <t>Envío estándar: 3–5 días hábiles</t>
  </si>
  <si>
    <t>Replaced literal 'días de negocio' with standard 'días hábiles'.</t>
  </si>
  <si>
    <t>El envío exprés está disponible por $14.99.</t>
  </si>
  <si>
    <t>Localized 'express' and added the article for natural Spanish.</t>
  </si>
  <si>
    <t>Envío gratis en pedidos superiores a $50.</t>
  </si>
  <si>
    <t>Standardized 'orders' as 'pedidos' and improved naturalness.</t>
  </si>
  <si>
    <t>Accurate and clear.</t>
  </si>
  <si>
    <t>Iniciar una devolución</t>
  </si>
  <si>
    <t>Used the more conventional UI action 'Iniciar una devolución'.</t>
  </si>
  <si>
    <t>Hemos recibido su solicitud de devolución.</t>
  </si>
  <si>
    <t>Used a more natural active customer-service construction.</t>
  </si>
  <si>
    <t>Se ha emitido su reembolso de $25.00.</t>
  </si>
  <si>
    <t>Improved word order while preserving the amount.</t>
  </si>
  <si>
    <t>Los reembolsos pueden tardar entre 5 y 10 días hábiles en reflejarse.</t>
  </si>
  <si>
    <t>Replaced literal 'tomar...para aparecer' with natural financial/customer-service Spanish.</t>
  </si>
  <si>
    <t>Este artículo no se puede devolver.</t>
  </si>
  <si>
    <t>Replaced legalistic calque with concise customer-facing Spanish.</t>
  </si>
  <si>
    <t>Pueden aplicarse cargos por el envío de la devolución.</t>
  </si>
  <si>
    <t>Grammar</t>
  </si>
  <si>
    <t>Corrected unnatural word order and verb construction.</t>
  </si>
  <si>
    <t>Administrar suscripción</t>
  </si>
  <si>
    <t>Used standard UI terminology instead of literal 'manejar'.</t>
  </si>
  <si>
    <t>Su próximo pago es de $9.99.</t>
  </si>
  <si>
    <t>Added the required preposition for natural Spanish.</t>
  </si>
  <si>
    <t>Acceptable neutral customer-facing wording.</t>
  </si>
  <si>
    <t>Su prueba gratuita termina en {days_remaining} días.</t>
  </si>
  <si>
    <t>Standardized 'free trial' as 'prueba gratuita'.</t>
  </si>
  <si>
    <t>¿Cómo podemos ayudarle hoy?</t>
  </si>
  <si>
    <t>Changed informal 'ayudarte' to the established usted register.</t>
  </si>
  <si>
    <t>Comuníquese con nuestro equipo de soporte.</t>
  </si>
  <si>
    <t>Used a more natural neutral-LATAM contact construction.</t>
  </si>
  <si>
    <t>Nuestro equipo suele responder en un plazo de 24 horas.</t>
  </si>
  <si>
    <t>Replaced literal phrasing with natural service-language wording.</t>
  </si>
  <si>
    <t>Su solicitud de soporte es la #{ticket_number}.</t>
  </si>
  <si>
    <t>Added the article needed for the ticket/request number construction.</t>
  </si>
  <si>
    <t>Describa el problema que está experimentando.</t>
  </si>
  <si>
    <t>Removed unnecessary 'Por favor' for concise UI style.</t>
  </si>
  <si>
    <t>Chatee con nosotros</t>
  </si>
  <si>
    <t>Esta conversación ha finalizado.</t>
  </si>
  <si>
    <t>Used slightly more polished customer-service wording.</t>
  </si>
  <si>
    <t>Nos tomamos muy en serio su privacidad.</t>
  </si>
  <si>
    <t>Replaced direct English calque with idiomatic Spanish.</t>
  </si>
  <si>
    <t>Si no fue usted, proteja su cuenta ahora.</t>
  </si>
  <si>
    <t>Replaced awkward literal phrasing with natural security messaging.</t>
  </si>
  <si>
    <t>Habilite la autenticación de dos factores para mayor seguridad.</t>
  </si>
  <si>
    <t>Replaced literal 'seguridad extra' with idiomatic wording.</t>
  </si>
  <si>
    <t>Revise nuestra Política de privacidad.</t>
  </si>
  <si>
    <t>Standardized sentence-style capitalization.</t>
  </si>
  <si>
    <t>Tiene {notification_count} notificaciones nuevas.</t>
  </si>
  <si>
    <t>Improved adjective placement while preserving the placeholder.</t>
  </si>
  <si>
    <t>Active las notificaciones para mantenerse al día.</t>
  </si>
  <si>
    <t>Replaced regional/literal 'prenda' with neutral LATAM UI wording.</t>
  </si>
  <si>
    <t>Se guardaron sus preferencias de notificación.</t>
  </si>
  <si>
    <t>Used a more natural UI confirmation construction.</t>
  </si>
  <si>
    <t>Puede cambiar esta configuración en cualquier momento.</t>
  </si>
  <si>
    <t>Standardized 'settings' as singular collective 'configuración'.</t>
  </si>
  <si>
    <t>Algo salió mal. Inténtelo de nuevo.</t>
  </si>
  <si>
    <t>Más información</t>
  </si>
  <si>
    <t>Localized common UI CTA instead of literal infinitive.</t>
  </si>
  <si>
    <t>Los cambios se guardaron correctamente.</t>
  </si>
  <si>
    <t>Replaced 'exitosamente' with more natural UI wording.</t>
  </si>
  <si>
    <t>English</t>
  </si>
  <si>
    <t>Preferred Spanish</t>
  </si>
  <si>
    <t>Guidance</t>
  </si>
  <si>
    <t>Order</t>
  </si>
  <si>
    <t>Pedido</t>
  </si>
  <si>
    <t>Use consistently for e-commerce orders; avoid 'orden'.</t>
  </si>
  <si>
    <t>Localize the UI concept; avoid untranslated 'checkout'.</t>
  </si>
  <si>
    <t>Envío</t>
  </si>
  <si>
    <t>Use for delivery/shipping context.</t>
  </si>
  <si>
    <t>Business days</t>
  </si>
  <si>
    <t>Días hábiles</t>
  </si>
  <si>
    <t>Avoid literal 'días de negocio'.</t>
  </si>
  <si>
    <t>Tracking number</t>
  </si>
  <si>
    <t>Número de seguimiento</t>
  </si>
  <si>
    <t>Preferred neutral LATAM term.</t>
  </si>
  <si>
    <t>Refund</t>
  </si>
  <si>
    <t>Reembolso</t>
  </si>
  <si>
    <t>Use consistently.</t>
  </si>
  <si>
    <t>Return</t>
  </si>
  <si>
    <t>Devolución</t>
  </si>
  <si>
    <t>Cuenta</t>
  </si>
  <si>
    <t>Subscription</t>
  </si>
  <si>
    <t>Suscripción</t>
  </si>
  <si>
    <t>Settings</t>
  </si>
  <si>
    <t>Configuración</t>
  </si>
  <si>
    <t>Prefer as collective UI term.</t>
  </si>
  <si>
    <t>Free trial</t>
  </si>
  <si>
    <t>Prueba gratuita</t>
  </si>
  <si>
    <t>Preferred professional wording.</t>
  </si>
  <si>
    <t>Register</t>
  </si>
  <si>
    <t>Usted</t>
  </si>
  <si>
    <t>Use professional usted forms consistently across customer-facing strings.</t>
  </si>
  <si>
    <t>Placeholders</t>
  </si>
  <si>
    <t>Preserve exactly</t>
  </si>
  <si>
    <t>Do not alter tokens such as {date}, {email}, or {order_number}.</t>
  </si>
  <si>
    <t>Localization QA — Analysis Summary</t>
  </si>
  <si>
    <t>KPI</t>
  </si>
  <si>
    <t>Value</t>
  </si>
  <si>
    <t>Count</t>
  </si>
  <si>
    <t>Strings reviewed</t>
  </si>
  <si>
    <t>Approval rate</t>
  </si>
  <si>
    <t>Correction rate</t>
  </si>
  <si>
    <t>Error Type</t>
  </si>
  <si>
    <t>Reviewed</t>
  </si>
  <si>
    <t>Correction Rate</t>
  </si>
  <si>
    <t>Completeness</t>
  </si>
  <si>
    <t>English–Spanish Localization QA Dashboard</t>
  </si>
  <si>
    <t>Key takeaway: the review focuses on consistent professional register, neutral LATAM terminology, and natural customer-facing Spanish while preserving functional placeholders.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</si>
</sst>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8"/>
      <color rgb="FFFFFFFF"/>
      <name val="Carlito"/>
    </font>
    <font>
      <b/>
      <sz val="15"/>
      <name val="Carlito"/>
    </font>
    <font>
      <b/>
      <sz val="14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9" fontId="0" fillId="0" borderId="0" xfId="0" applyNumberFormat="1"/>
    <xf numFmtId="0" fontId="2" fillId="2" borderId="0" xfId="0" applyFont="1" applyFill="1"/>
    <xf numFmtId="0" fontId="2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wrapText="1"/>
    </xf>
  </cellXfs>
  <cellStyles count="1">
    <cellStyle name="Normal" xfId="0" builtinId="0"/>
  </cellStyles>
  <dxfs count="4">
    <dxf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Issues by Error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Dashboard!$A$7:$A$13</c:f>
              <c:strCache>
                <c:ptCount val="7"/>
                <c:pt idx="0">
                  <c:v>Accuracy</c:v>
                </c:pt>
                <c:pt idx="1">
                  <c:v>Grammar</c:v>
                </c:pt>
                <c:pt idx="2">
                  <c:v>Terminology</c:v>
                </c:pt>
                <c:pt idx="3">
                  <c:v>Tone/Register</c:v>
                </c:pt>
                <c:pt idx="4">
                  <c:v>Naturalness</c:v>
                </c:pt>
                <c:pt idx="5">
                  <c:v>Completeness</c:v>
                </c:pt>
                <c:pt idx="6">
                  <c:v>Formatting</c:v>
                </c:pt>
              </c:strCache>
            </c:strRef>
          </c:cat>
          <c:val>
            <c:numRef>
              <c:f>Dashboard!$B$7:$B$13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11</c:v>
                </c:pt>
                <c:pt idx="3">
                  <c:v>5</c:v>
                </c:pt>
                <c:pt idx="4">
                  <c:v>23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6-0846-BD64-2F43C675F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Correction Severity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Dashboard!$D$7:$D$8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Dashboard!$E$7:$E$8</c:f>
              <c:numCache>
                <c:formatCode>General</c:formatCode>
                <c:ptCount val="2"/>
                <c:pt idx="0">
                  <c:v>13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B-6B46-9559-828A57B12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Correction Rate by Content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Correction Rate</c:v>
          </c:tx>
          <c:invertIfNegative val="1"/>
          <c:cat>
            <c:strRef>
              <c:f>Dashboard!$G$7:$G$16</c:f>
              <c:strCache>
                <c:ptCount val="10"/>
                <c:pt idx="0">
                  <c:v>Account</c:v>
                </c:pt>
                <c:pt idx="1">
                  <c:v>Orders</c:v>
                </c:pt>
                <c:pt idx="2">
                  <c:v>Checkout</c:v>
                </c:pt>
                <c:pt idx="3">
                  <c:v>Shipping</c:v>
                </c:pt>
                <c:pt idx="4">
                  <c:v>Returns &amp; Refunds</c:v>
                </c:pt>
                <c:pt idx="5">
                  <c:v>Subscriptions</c:v>
                </c:pt>
                <c:pt idx="6">
                  <c:v>Customer Support</c:v>
                </c:pt>
                <c:pt idx="7">
                  <c:v>Security &amp; Privacy</c:v>
                </c:pt>
                <c:pt idx="8">
                  <c:v>Notifications</c:v>
                </c:pt>
                <c:pt idx="9">
                  <c:v>General</c:v>
                </c:pt>
              </c:strCache>
            </c:strRef>
          </c:cat>
          <c:val>
            <c:numRef>
              <c:f>Dashboard!$H$7:$H$16</c:f>
              <c:numCache>
                <c:formatCode>0%</c:formatCode>
                <c:ptCount val="10"/>
                <c:pt idx="0">
                  <c:v>0.5</c:v>
                </c:pt>
                <c:pt idx="1">
                  <c:v>0.4</c:v>
                </c:pt>
                <c:pt idx="2">
                  <c:v>0.6</c:v>
                </c:pt>
                <c:pt idx="3">
                  <c:v>0.375</c:v>
                </c:pt>
                <c:pt idx="4">
                  <c:v>0.75</c:v>
                </c:pt>
                <c:pt idx="5">
                  <c:v>0.375</c:v>
                </c:pt>
                <c:pt idx="6">
                  <c:v>0.875</c:v>
                </c:pt>
                <c:pt idx="7">
                  <c:v>0.66666666666666663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E-B442-AC78-C7CD8151E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5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LocalizationTable" displayName="RawLocalizationTable" ref="A1:D76" totalsRowShown="0">
  <tableColumns count="4">
    <tableColumn id="1" xr3:uid="{00000000-0010-0000-0000-000001000000}" name="String_ID"/>
    <tableColumn id="2" xr3:uid="{00000000-0010-0000-0000-000002000000}" name="Category"/>
    <tableColumn id="3" xr3:uid="{00000000-0010-0000-0000-000003000000}" name="English_Source"/>
    <tableColumn id="4" xr3:uid="{00000000-0010-0000-0000-000004000000}" name="Spanish_Provid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ocalizationQAReviewTable" displayName="LocalizationQAReviewTable" ref="A1:I76" totalsRowShown="0">
  <tableColumns count="9">
    <tableColumn id="1" xr3:uid="{00000000-0010-0000-0100-000001000000}" name="String_ID"/>
    <tableColumn id="2" xr3:uid="{00000000-0010-0000-0100-000002000000}" name="Category"/>
    <tableColumn id="3" xr3:uid="{00000000-0010-0000-0100-000003000000}" name="English_Source"/>
    <tableColumn id="4" xr3:uid="{00000000-0010-0000-0100-000004000000}" name="Spanish_Provided"/>
    <tableColumn id="5" xr3:uid="{00000000-0010-0000-0100-000005000000}" name="Corrected_Spanish"/>
    <tableColumn id="6" xr3:uid="{00000000-0010-0000-0100-000006000000}" name="QA_Status"/>
    <tableColumn id="7" xr3:uid="{00000000-0010-0000-0100-000007000000}" name="Error_Type"/>
    <tableColumn id="8" xr3:uid="{00000000-0010-0000-0100-000008000000}" name="Severity"/>
    <tableColumn id="9" xr3:uid="{00000000-0010-0000-0100-000009000000}" name="Reviewer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rminologyGuideTable" displayName="TerminologyGuideTable" ref="A1:C14" totalsRowShown="0">
  <tableColumns count="3">
    <tableColumn id="1" xr3:uid="{00000000-0010-0000-0200-000001000000}" name="English"/>
    <tableColumn id="2" xr3:uid="{00000000-0010-0000-0200-000002000000}" name="Preferred Spanish"/>
    <tableColumn id="3" xr3:uid="{00000000-0010-0000-0200-000003000000}" name="Gui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workbookViewId="0"/>
  </sheetViews>
  <sheetFormatPr baseColWidth="10" defaultColWidth="8.83203125" defaultRowHeight="14"/>
  <cols>
    <col min="1" max="1" width="14" customWidth="1"/>
    <col min="2" max="2" width="20" customWidth="1"/>
    <col min="3" max="4" width="48" customWidth="1"/>
  </cols>
  <sheetData>
    <row r="1" spans="1:4" ht="16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s="3" t="s">
        <v>4</v>
      </c>
      <c r="B2" s="3" t="s">
        <v>5</v>
      </c>
      <c r="C2" s="3" t="s">
        <v>6</v>
      </c>
      <c r="D2" s="3" t="s">
        <v>7</v>
      </c>
    </row>
    <row r="3" spans="1:4" ht="15">
      <c r="A3" s="3" t="s">
        <v>8</v>
      </c>
      <c r="B3" s="3" t="s">
        <v>5</v>
      </c>
      <c r="C3" s="3" t="s">
        <v>9</v>
      </c>
      <c r="D3" s="3" t="s">
        <v>10</v>
      </c>
    </row>
    <row r="4" spans="1:4" ht="15">
      <c r="A4" s="3" t="s">
        <v>11</v>
      </c>
      <c r="B4" s="3" t="s">
        <v>5</v>
      </c>
      <c r="C4" s="3" t="s">
        <v>12</v>
      </c>
      <c r="D4" s="3" t="s">
        <v>13</v>
      </c>
    </row>
    <row r="5" spans="1:4" ht="15">
      <c r="A5" s="3" t="s">
        <v>14</v>
      </c>
      <c r="B5" s="3" t="s">
        <v>5</v>
      </c>
      <c r="C5" s="3" t="s">
        <v>15</v>
      </c>
      <c r="D5" s="3" t="s">
        <v>16</v>
      </c>
    </row>
    <row r="6" spans="1:4" ht="30">
      <c r="A6" s="3" t="s">
        <v>17</v>
      </c>
      <c r="B6" s="3" t="s">
        <v>5</v>
      </c>
      <c r="C6" s="3" t="s">
        <v>18</v>
      </c>
      <c r="D6" s="3" t="s">
        <v>19</v>
      </c>
    </row>
    <row r="7" spans="1:4" ht="15">
      <c r="A7" s="3" t="s">
        <v>20</v>
      </c>
      <c r="B7" s="3" t="s">
        <v>5</v>
      </c>
      <c r="C7" s="3" t="s">
        <v>21</v>
      </c>
      <c r="D7" s="3" t="s">
        <v>22</v>
      </c>
    </row>
    <row r="8" spans="1:4" ht="15">
      <c r="A8" s="3" t="s">
        <v>23</v>
      </c>
      <c r="B8" s="3" t="s">
        <v>5</v>
      </c>
      <c r="C8" s="3" t="s">
        <v>24</v>
      </c>
      <c r="D8" s="3" t="s">
        <v>25</v>
      </c>
    </row>
    <row r="9" spans="1:4" ht="15">
      <c r="A9" s="3" t="s">
        <v>26</v>
      </c>
      <c r="B9" s="3" t="s">
        <v>5</v>
      </c>
      <c r="C9" s="3" t="s">
        <v>27</v>
      </c>
      <c r="D9" s="3" t="s">
        <v>28</v>
      </c>
    </row>
    <row r="10" spans="1:4" ht="15">
      <c r="A10" s="3" t="s">
        <v>29</v>
      </c>
      <c r="B10" s="3" t="s">
        <v>5</v>
      </c>
      <c r="C10" s="3" t="s">
        <v>30</v>
      </c>
      <c r="D10" s="3" t="s">
        <v>31</v>
      </c>
    </row>
    <row r="11" spans="1:4" ht="15">
      <c r="A11" s="3" t="s">
        <v>32</v>
      </c>
      <c r="B11" s="3" t="s">
        <v>5</v>
      </c>
      <c r="C11" s="3" t="s">
        <v>33</v>
      </c>
      <c r="D11" s="3" t="s">
        <v>34</v>
      </c>
    </row>
    <row r="12" spans="1:4" ht="15">
      <c r="A12" s="3" t="s">
        <v>35</v>
      </c>
      <c r="B12" s="3" t="s">
        <v>36</v>
      </c>
      <c r="C12" s="3" t="s">
        <v>37</v>
      </c>
      <c r="D12" s="3" t="s">
        <v>38</v>
      </c>
    </row>
    <row r="13" spans="1:4" ht="15">
      <c r="A13" s="3" t="s">
        <v>39</v>
      </c>
      <c r="B13" s="3" t="s">
        <v>36</v>
      </c>
      <c r="C13" s="3" t="s">
        <v>40</v>
      </c>
      <c r="D13" s="3" t="s">
        <v>41</v>
      </c>
    </row>
    <row r="14" spans="1:4" ht="15">
      <c r="A14" s="3" t="s">
        <v>42</v>
      </c>
      <c r="B14" s="3" t="s">
        <v>36</v>
      </c>
      <c r="C14" s="3" t="s">
        <v>43</v>
      </c>
      <c r="D14" s="3" t="s">
        <v>44</v>
      </c>
    </row>
    <row r="15" spans="1:4" ht="15">
      <c r="A15" s="3" t="s">
        <v>45</v>
      </c>
      <c r="B15" s="3" t="s">
        <v>36</v>
      </c>
      <c r="C15" s="3" t="s">
        <v>46</v>
      </c>
      <c r="D15" s="3" t="s">
        <v>47</v>
      </c>
    </row>
    <row r="16" spans="1:4" ht="15">
      <c r="A16" s="3" t="s">
        <v>48</v>
      </c>
      <c r="B16" s="3" t="s">
        <v>36</v>
      </c>
      <c r="C16" s="3" t="s">
        <v>49</v>
      </c>
      <c r="D16" s="3" t="s">
        <v>50</v>
      </c>
    </row>
    <row r="17" spans="1:4" ht="15">
      <c r="A17" s="3" t="s">
        <v>51</v>
      </c>
      <c r="B17" s="3" t="s">
        <v>36</v>
      </c>
      <c r="C17" s="3" t="s">
        <v>52</v>
      </c>
      <c r="D17" s="3" t="s">
        <v>53</v>
      </c>
    </row>
    <row r="18" spans="1:4" ht="15">
      <c r="A18" s="3" t="s">
        <v>54</v>
      </c>
      <c r="B18" s="3" t="s">
        <v>36</v>
      </c>
      <c r="C18" s="3" t="s">
        <v>55</v>
      </c>
      <c r="D18" s="3" t="s">
        <v>56</v>
      </c>
    </row>
    <row r="19" spans="1:4" ht="15">
      <c r="A19" s="3" t="s">
        <v>57</v>
      </c>
      <c r="B19" s="3" t="s">
        <v>36</v>
      </c>
      <c r="C19" s="3" t="s">
        <v>58</v>
      </c>
      <c r="D19" s="3" t="s">
        <v>59</v>
      </c>
    </row>
    <row r="20" spans="1:4" ht="15">
      <c r="A20" s="3" t="s">
        <v>60</v>
      </c>
      <c r="B20" s="3" t="s">
        <v>36</v>
      </c>
      <c r="C20" s="3" t="s">
        <v>61</v>
      </c>
      <c r="D20" s="3" t="s">
        <v>62</v>
      </c>
    </row>
    <row r="21" spans="1:4" ht="15">
      <c r="A21" s="3" t="s">
        <v>63</v>
      </c>
      <c r="B21" s="3" t="s">
        <v>36</v>
      </c>
      <c r="C21" s="3" t="s">
        <v>64</v>
      </c>
      <c r="D21" s="3" t="s">
        <v>65</v>
      </c>
    </row>
    <row r="22" spans="1:4" ht="15">
      <c r="A22" s="3" t="s">
        <v>66</v>
      </c>
      <c r="B22" s="3" t="s">
        <v>67</v>
      </c>
      <c r="C22" s="3" t="s">
        <v>68</v>
      </c>
      <c r="D22" s="3" t="s">
        <v>69</v>
      </c>
    </row>
    <row r="23" spans="1:4" ht="15">
      <c r="A23" s="3" t="s">
        <v>70</v>
      </c>
      <c r="B23" s="3" t="s">
        <v>67</v>
      </c>
      <c r="C23" s="3" t="s">
        <v>71</v>
      </c>
      <c r="D23" s="3" t="s">
        <v>72</v>
      </c>
    </row>
    <row r="24" spans="1:4" ht="30">
      <c r="A24" s="3" t="s">
        <v>73</v>
      </c>
      <c r="B24" s="3" t="s">
        <v>67</v>
      </c>
      <c r="C24" s="3" t="s">
        <v>74</v>
      </c>
      <c r="D24" s="3" t="s">
        <v>75</v>
      </c>
    </row>
    <row r="25" spans="1:4" ht="15">
      <c r="A25" s="3" t="s">
        <v>76</v>
      </c>
      <c r="B25" s="3" t="s">
        <v>67</v>
      </c>
      <c r="C25" s="3" t="s">
        <v>77</v>
      </c>
      <c r="D25" s="3" t="s">
        <v>78</v>
      </c>
    </row>
    <row r="26" spans="1:4" ht="15">
      <c r="A26" s="3" t="s">
        <v>79</v>
      </c>
      <c r="B26" s="3" t="s">
        <v>67</v>
      </c>
      <c r="C26" s="3" t="s">
        <v>80</v>
      </c>
      <c r="D26" s="3" t="s">
        <v>81</v>
      </c>
    </row>
    <row r="27" spans="1:4" ht="15">
      <c r="A27" s="3" t="s">
        <v>82</v>
      </c>
      <c r="B27" s="3" t="s">
        <v>67</v>
      </c>
      <c r="C27" s="3" t="s">
        <v>83</v>
      </c>
      <c r="D27" s="3" t="s">
        <v>84</v>
      </c>
    </row>
    <row r="28" spans="1:4" ht="15">
      <c r="A28" s="3" t="s">
        <v>85</v>
      </c>
      <c r="B28" s="3" t="s">
        <v>67</v>
      </c>
      <c r="C28" s="3" t="s">
        <v>86</v>
      </c>
      <c r="D28" s="3" t="s">
        <v>87</v>
      </c>
    </row>
    <row r="29" spans="1:4" ht="15">
      <c r="A29" s="3" t="s">
        <v>88</v>
      </c>
      <c r="B29" s="3" t="s">
        <v>67</v>
      </c>
      <c r="C29" s="3" t="s">
        <v>89</v>
      </c>
      <c r="D29" s="3" t="s">
        <v>90</v>
      </c>
    </row>
    <row r="30" spans="1:4" ht="15">
      <c r="A30" s="3" t="s">
        <v>91</v>
      </c>
      <c r="B30" s="3" t="s">
        <v>67</v>
      </c>
      <c r="C30" s="3" t="s">
        <v>92</v>
      </c>
      <c r="D30" s="3" t="s">
        <v>93</v>
      </c>
    </row>
    <row r="31" spans="1:4" ht="30">
      <c r="A31" s="3" t="s">
        <v>94</v>
      </c>
      <c r="B31" s="3" t="s">
        <v>67</v>
      </c>
      <c r="C31" s="3" t="s">
        <v>95</v>
      </c>
      <c r="D31" s="3" t="s">
        <v>96</v>
      </c>
    </row>
    <row r="32" spans="1:4" ht="15">
      <c r="A32" s="3" t="s">
        <v>97</v>
      </c>
      <c r="B32" s="3" t="s">
        <v>98</v>
      </c>
      <c r="C32" s="3" t="s">
        <v>99</v>
      </c>
      <c r="D32" s="3" t="s">
        <v>100</v>
      </c>
    </row>
    <row r="33" spans="1:4" ht="15">
      <c r="A33" s="3" t="s">
        <v>101</v>
      </c>
      <c r="B33" s="3" t="s">
        <v>98</v>
      </c>
      <c r="C33" s="3" t="s">
        <v>102</v>
      </c>
      <c r="D33" s="3" t="s">
        <v>103</v>
      </c>
    </row>
    <row r="34" spans="1:4" ht="15">
      <c r="A34" s="3" t="s">
        <v>104</v>
      </c>
      <c r="B34" s="3" t="s">
        <v>98</v>
      </c>
      <c r="C34" s="3" t="s">
        <v>105</v>
      </c>
      <c r="D34" s="3" t="s">
        <v>106</v>
      </c>
    </row>
    <row r="35" spans="1:4" ht="15">
      <c r="A35" s="3" t="s">
        <v>107</v>
      </c>
      <c r="B35" s="3" t="s">
        <v>98</v>
      </c>
      <c r="C35" s="3" t="s">
        <v>108</v>
      </c>
      <c r="D35" s="3" t="s">
        <v>109</v>
      </c>
    </row>
    <row r="36" spans="1:4" ht="15">
      <c r="A36" s="3" t="s">
        <v>110</v>
      </c>
      <c r="B36" s="3" t="s">
        <v>98</v>
      </c>
      <c r="C36" s="3" t="s">
        <v>111</v>
      </c>
      <c r="D36" s="3" t="s">
        <v>112</v>
      </c>
    </row>
    <row r="37" spans="1:4" ht="15">
      <c r="A37" s="3" t="s">
        <v>113</v>
      </c>
      <c r="B37" s="3" t="s">
        <v>98</v>
      </c>
      <c r="C37" s="3" t="s">
        <v>114</v>
      </c>
      <c r="D37" s="3" t="s">
        <v>115</v>
      </c>
    </row>
    <row r="38" spans="1:4" ht="15">
      <c r="A38" s="3" t="s">
        <v>116</v>
      </c>
      <c r="B38" s="3" t="s">
        <v>98</v>
      </c>
      <c r="C38" s="3" t="s">
        <v>117</v>
      </c>
      <c r="D38" s="3" t="s">
        <v>118</v>
      </c>
    </row>
    <row r="39" spans="1:4" ht="30">
      <c r="A39" s="3" t="s">
        <v>119</v>
      </c>
      <c r="B39" s="3" t="s">
        <v>98</v>
      </c>
      <c r="C39" s="3" t="s">
        <v>120</v>
      </c>
      <c r="D39" s="3" t="s">
        <v>121</v>
      </c>
    </row>
    <row r="40" spans="1:4" ht="15">
      <c r="A40" s="3" t="s">
        <v>122</v>
      </c>
      <c r="B40" s="3" t="s">
        <v>123</v>
      </c>
      <c r="C40" s="3" t="s">
        <v>124</v>
      </c>
      <c r="D40" s="3" t="s">
        <v>125</v>
      </c>
    </row>
    <row r="41" spans="1:4" ht="15">
      <c r="A41" s="3" t="s">
        <v>126</v>
      </c>
      <c r="B41" s="3" t="s">
        <v>123</v>
      </c>
      <c r="C41" s="3" t="s">
        <v>127</v>
      </c>
      <c r="D41" s="3" t="s">
        <v>128</v>
      </c>
    </row>
    <row r="42" spans="1:4" ht="15">
      <c r="A42" s="3" t="s">
        <v>129</v>
      </c>
      <c r="B42" s="3" t="s">
        <v>123</v>
      </c>
      <c r="C42" s="3" t="s">
        <v>130</v>
      </c>
      <c r="D42" s="3" t="s">
        <v>131</v>
      </c>
    </row>
    <row r="43" spans="1:4" ht="15">
      <c r="A43" s="3" t="s">
        <v>132</v>
      </c>
      <c r="B43" s="3" t="s">
        <v>123</v>
      </c>
      <c r="C43" s="3" t="s">
        <v>133</v>
      </c>
      <c r="D43" s="3" t="s">
        <v>134</v>
      </c>
    </row>
    <row r="44" spans="1:4" ht="30">
      <c r="A44" s="3" t="s">
        <v>135</v>
      </c>
      <c r="B44" s="3" t="s">
        <v>123</v>
      </c>
      <c r="C44" s="3" t="s">
        <v>136</v>
      </c>
      <c r="D44" s="3" t="s">
        <v>137</v>
      </c>
    </row>
    <row r="45" spans="1:4" ht="15">
      <c r="A45" s="3" t="s">
        <v>138</v>
      </c>
      <c r="B45" s="3" t="s">
        <v>123</v>
      </c>
      <c r="C45" s="3" t="s">
        <v>139</v>
      </c>
      <c r="D45" s="3" t="s">
        <v>140</v>
      </c>
    </row>
    <row r="46" spans="1:4" ht="15">
      <c r="A46" s="3" t="s">
        <v>141</v>
      </c>
      <c r="B46" s="3" t="s">
        <v>123</v>
      </c>
      <c r="C46" s="3" t="s">
        <v>142</v>
      </c>
      <c r="D46" s="3" t="s">
        <v>143</v>
      </c>
    </row>
    <row r="47" spans="1:4" ht="15">
      <c r="A47" s="3" t="s">
        <v>144</v>
      </c>
      <c r="B47" s="3" t="s">
        <v>123</v>
      </c>
      <c r="C47" s="3" t="s">
        <v>145</v>
      </c>
      <c r="D47" s="3" t="s">
        <v>146</v>
      </c>
    </row>
    <row r="48" spans="1:4" ht="15">
      <c r="A48" s="3" t="s">
        <v>147</v>
      </c>
      <c r="B48" s="3" t="s">
        <v>148</v>
      </c>
      <c r="C48" s="3" t="s">
        <v>149</v>
      </c>
      <c r="D48" s="3" t="s">
        <v>150</v>
      </c>
    </row>
    <row r="49" spans="1:4" ht="15">
      <c r="A49" s="3" t="s">
        <v>151</v>
      </c>
      <c r="B49" s="3" t="s">
        <v>148</v>
      </c>
      <c r="C49" s="3" t="s">
        <v>152</v>
      </c>
      <c r="D49" s="3" t="s">
        <v>153</v>
      </c>
    </row>
    <row r="50" spans="1:4" ht="15">
      <c r="A50" s="3" t="s">
        <v>154</v>
      </c>
      <c r="B50" s="3" t="s">
        <v>148</v>
      </c>
      <c r="C50" s="3" t="s">
        <v>155</v>
      </c>
      <c r="D50" s="3" t="s">
        <v>156</v>
      </c>
    </row>
    <row r="51" spans="1:4" ht="15">
      <c r="A51" s="3" t="s">
        <v>157</v>
      </c>
      <c r="B51" s="3" t="s">
        <v>148</v>
      </c>
      <c r="C51" s="3" t="s">
        <v>158</v>
      </c>
      <c r="D51" s="3" t="s">
        <v>159</v>
      </c>
    </row>
    <row r="52" spans="1:4" ht="15">
      <c r="A52" s="3" t="s">
        <v>160</v>
      </c>
      <c r="B52" s="3" t="s">
        <v>148</v>
      </c>
      <c r="C52" s="3" t="s">
        <v>161</v>
      </c>
      <c r="D52" s="3" t="s">
        <v>162</v>
      </c>
    </row>
    <row r="53" spans="1:4" ht="15">
      <c r="A53" s="3" t="s">
        <v>163</v>
      </c>
      <c r="B53" s="3" t="s">
        <v>148</v>
      </c>
      <c r="C53" s="3" t="s">
        <v>164</v>
      </c>
      <c r="D53" s="3" t="s">
        <v>165</v>
      </c>
    </row>
    <row r="54" spans="1:4" ht="15">
      <c r="A54" s="3" t="s">
        <v>166</v>
      </c>
      <c r="B54" s="3" t="s">
        <v>148</v>
      </c>
      <c r="C54" s="3" t="s">
        <v>167</v>
      </c>
      <c r="D54" s="3" t="s">
        <v>168</v>
      </c>
    </row>
    <row r="55" spans="1:4" ht="15">
      <c r="A55" s="3" t="s">
        <v>169</v>
      </c>
      <c r="B55" s="3" t="s">
        <v>148</v>
      </c>
      <c r="C55" s="3" t="s">
        <v>170</v>
      </c>
      <c r="D55" s="3" t="s">
        <v>171</v>
      </c>
    </row>
    <row r="56" spans="1:4" ht="15">
      <c r="A56" s="3" t="s">
        <v>172</v>
      </c>
      <c r="B56" s="3" t="s">
        <v>173</v>
      </c>
      <c r="C56" s="3" t="s">
        <v>174</v>
      </c>
      <c r="D56" s="3" t="s">
        <v>175</v>
      </c>
    </row>
    <row r="57" spans="1:4" ht="15">
      <c r="A57" s="3" t="s">
        <v>176</v>
      </c>
      <c r="B57" s="3" t="s">
        <v>173</v>
      </c>
      <c r="C57" s="3" t="s">
        <v>177</v>
      </c>
      <c r="D57" s="3" t="s">
        <v>178</v>
      </c>
    </row>
    <row r="58" spans="1:4" ht="15">
      <c r="A58" s="3" t="s">
        <v>179</v>
      </c>
      <c r="B58" s="3" t="s">
        <v>173</v>
      </c>
      <c r="C58" s="3" t="s">
        <v>180</v>
      </c>
      <c r="D58" s="3" t="s">
        <v>181</v>
      </c>
    </row>
    <row r="59" spans="1:4" ht="15">
      <c r="A59" s="3" t="s">
        <v>182</v>
      </c>
      <c r="B59" s="3" t="s">
        <v>173</v>
      </c>
      <c r="C59" s="3" t="s">
        <v>183</v>
      </c>
      <c r="D59" s="3" t="s">
        <v>184</v>
      </c>
    </row>
    <row r="60" spans="1:4" ht="15">
      <c r="A60" s="3" t="s">
        <v>185</v>
      </c>
      <c r="B60" s="3" t="s">
        <v>173</v>
      </c>
      <c r="C60" s="3" t="s">
        <v>186</v>
      </c>
      <c r="D60" s="3" t="s">
        <v>187</v>
      </c>
    </row>
    <row r="61" spans="1:4" ht="15">
      <c r="A61" s="3" t="s">
        <v>188</v>
      </c>
      <c r="B61" s="3" t="s">
        <v>173</v>
      </c>
      <c r="C61" s="3" t="s">
        <v>189</v>
      </c>
      <c r="D61" s="3" t="s">
        <v>190</v>
      </c>
    </row>
    <row r="62" spans="1:4" ht="15">
      <c r="A62" s="3" t="s">
        <v>191</v>
      </c>
      <c r="B62" s="3" t="s">
        <v>173</v>
      </c>
      <c r="C62" s="3" t="s">
        <v>192</v>
      </c>
      <c r="D62" s="3" t="s">
        <v>193</v>
      </c>
    </row>
    <row r="63" spans="1:4" ht="15">
      <c r="A63" s="3" t="s">
        <v>194</v>
      </c>
      <c r="B63" s="3" t="s">
        <v>173</v>
      </c>
      <c r="C63" s="3" t="s">
        <v>195</v>
      </c>
      <c r="D63" s="3" t="s">
        <v>196</v>
      </c>
    </row>
    <row r="64" spans="1:4" ht="15">
      <c r="A64" s="3" t="s">
        <v>197</v>
      </c>
      <c r="B64" s="3" t="s">
        <v>198</v>
      </c>
      <c r="C64" s="3" t="s">
        <v>199</v>
      </c>
      <c r="D64" s="3" t="s">
        <v>200</v>
      </c>
    </row>
    <row r="65" spans="1:4" ht="15">
      <c r="A65" s="3" t="s">
        <v>201</v>
      </c>
      <c r="B65" s="3" t="s">
        <v>198</v>
      </c>
      <c r="C65" s="3" t="s">
        <v>202</v>
      </c>
      <c r="D65" s="3" t="s">
        <v>203</v>
      </c>
    </row>
    <row r="66" spans="1:4" ht="15">
      <c r="A66" s="3" t="s">
        <v>204</v>
      </c>
      <c r="B66" s="3" t="s">
        <v>198</v>
      </c>
      <c r="C66" s="3" t="s">
        <v>205</v>
      </c>
      <c r="D66" s="3" t="s">
        <v>206</v>
      </c>
    </row>
    <row r="67" spans="1:4" ht="15">
      <c r="A67" s="3" t="s">
        <v>207</v>
      </c>
      <c r="B67" s="3" t="s">
        <v>198</v>
      </c>
      <c r="C67" s="3" t="s">
        <v>208</v>
      </c>
      <c r="D67" s="3" t="s">
        <v>209</v>
      </c>
    </row>
    <row r="68" spans="1:4" ht="30">
      <c r="A68" s="3" t="s">
        <v>210</v>
      </c>
      <c r="B68" s="3" t="s">
        <v>198</v>
      </c>
      <c r="C68" s="3" t="s">
        <v>211</v>
      </c>
      <c r="D68" s="3" t="s">
        <v>212</v>
      </c>
    </row>
    <row r="69" spans="1:4" ht="15">
      <c r="A69" s="3" t="s">
        <v>213</v>
      </c>
      <c r="B69" s="3" t="s">
        <v>198</v>
      </c>
      <c r="C69" s="3" t="s">
        <v>214</v>
      </c>
      <c r="D69" s="3" t="s">
        <v>215</v>
      </c>
    </row>
    <row r="70" spans="1:4" ht="15">
      <c r="A70" s="3" t="s">
        <v>216</v>
      </c>
      <c r="B70" s="3" t="s">
        <v>217</v>
      </c>
      <c r="C70" s="3" t="s">
        <v>218</v>
      </c>
      <c r="D70" s="3" t="s">
        <v>219</v>
      </c>
    </row>
    <row r="71" spans="1:4" ht="15">
      <c r="A71" s="3" t="s">
        <v>220</v>
      </c>
      <c r="B71" s="3" t="s">
        <v>217</v>
      </c>
      <c r="C71" s="3" t="s">
        <v>221</v>
      </c>
      <c r="D71" s="3" t="s">
        <v>222</v>
      </c>
    </row>
    <row r="72" spans="1:4" ht="15">
      <c r="A72" s="3" t="s">
        <v>223</v>
      </c>
      <c r="B72" s="3" t="s">
        <v>217</v>
      </c>
      <c r="C72" s="3" t="s">
        <v>224</v>
      </c>
      <c r="D72" s="3" t="s">
        <v>225</v>
      </c>
    </row>
    <row r="73" spans="1:4" ht="30">
      <c r="A73" s="3" t="s">
        <v>226</v>
      </c>
      <c r="B73" s="3" t="s">
        <v>217</v>
      </c>
      <c r="C73" s="3" t="s">
        <v>227</v>
      </c>
      <c r="D73" s="3" t="s">
        <v>228</v>
      </c>
    </row>
    <row r="74" spans="1:4" ht="15">
      <c r="A74" s="3" t="s">
        <v>229</v>
      </c>
      <c r="B74" s="3" t="s">
        <v>230</v>
      </c>
      <c r="C74" s="3" t="s">
        <v>231</v>
      </c>
      <c r="D74" s="3" t="s">
        <v>232</v>
      </c>
    </row>
    <row r="75" spans="1:4" ht="15">
      <c r="A75" s="3" t="s">
        <v>233</v>
      </c>
      <c r="B75" s="3" t="s">
        <v>230</v>
      </c>
      <c r="C75" s="3" t="s">
        <v>234</v>
      </c>
      <c r="D75" s="3" t="s">
        <v>235</v>
      </c>
    </row>
    <row r="76" spans="1:4" ht="15">
      <c r="A76" s="3" t="s">
        <v>236</v>
      </c>
      <c r="B76" s="3" t="s">
        <v>230</v>
      </c>
      <c r="C76" s="3" t="s">
        <v>237</v>
      </c>
      <c r="D76" s="3" t="s">
        <v>238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2" sqref="A2:XFD2"/>
    </sheetView>
  </sheetViews>
  <sheetFormatPr baseColWidth="10" defaultColWidth="8.83203125" defaultRowHeight="14"/>
  <cols>
    <col min="1" max="1" width="22" customWidth="1"/>
    <col min="2" max="2" width="78" customWidth="1"/>
  </cols>
  <sheetData>
    <row r="1" spans="1:2" ht="21">
      <c r="A1" s="10" t="s">
        <v>239</v>
      </c>
      <c r="B1" s="10"/>
    </row>
    <row r="2" spans="1:2" ht="16">
      <c r="A2" s="4" t="s">
        <v>240</v>
      </c>
      <c r="B2" s="3" t="s">
        <v>241</v>
      </c>
    </row>
    <row r="3" spans="1:2" ht="30">
      <c r="A3" s="4" t="s">
        <v>242</v>
      </c>
      <c r="B3" s="3" t="s">
        <v>243</v>
      </c>
    </row>
    <row r="4" spans="1:2" ht="16">
      <c r="A4" s="4" t="s">
        <v>244</v>
      </c>
      <c r="B4" s="3" t="s">
        <v>245</v>
      </c>
    </row>
    <row r="5" spans="1:2" ht="16">
      <c r="A5" s="4" t="s">
        <v>246</v>
      </c>
      <c r="B5" s="3" t="s">
        <v>247</v>
      </c>
    </row>
    <row r="6" spans="1:2" ht="30">
      <c r="A6" s="4" t="s">
        <v>248</v>
      </c>
      <c r="B6" s="3" t="s">
        <v>249</v>
      </c>
    </row>
    <row r="7" spans="1:2" ht="30">
      <c r="A7" s="4" t="s">
        <v>250</v>
      </c>
      <c r="B7" s="3" t="s">
        <v>251</v>
      </c>
    </row>
    <row r="8" spans="1:2" ht="30">
      <c r="A8" s="4" t="s">
        <v>252</v>
      </c>
      <c r="B8" s="3" t="s">
        <v>253</v>
      </c>
    </row>
    <row r="9" spans="1:2" ht="30">
      <c r="A9" s="4" t="s">
        <v>254</v>
      </c>
      <c r="B9" s="3" t="s">
        <v>255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6"/>
  <sheetViews>
    <sheetView topLeftCell="A73" workbookViewId="0">
      <selection activeCell="I9" sqref="C9:I74"/>
    </sheetView>
  </sheetViews>
  <sheetFormatPr baseColWidth="10" defaultColWidth="8.83203125" defaultRowHeight="14"/>
  <cols>
    <col min="1" max="1" width="14" customWidth="1"/>
    <col min="2" max="2" width="20" customWidth="1"/>
    <col min="3" max="5" width="42" customWidth="1"/>
    <col min="6" max="6" width="14" customWidth="1"/>
    <col min="7" max="7" width="18" customWidth="1"/>
    <col min="8" max="8" width="12" customWidth="1"/>
    <col min="9" max="9" width="48" customWidth="1"/>
  </cols>
  <sheetData>
    <row r="1" spans="1:9" ht="16">
      <c r="A1" s="5" t="s">
        <v>0</v>
      </c>
      <c r="B1" s="5" t="s">
        <v>1</v>
      </c>
      <c r="C1" s="5" t="s">
        <v>2</v>
      </c>
      <c r="D1" s="5" t="s">
        <v>3</v>
      </c>
      <c r="E1" s="5" t="s">
        <v>256</v>
      </c>
      <c r="F1" s="5" t="s">
        <v>257</v>
      </c>
      <c r="G1" s="5" t="s">
        <v>258</v>
      </c>
      <c r="H1" s="5" t="s">
        <v>259</v>
      </c>
      <c r="I1" s="5" t="s">
        <v>260</v>
      </c>
    </row>
    <row r="2" spans="1:9" ht="15">
      <c r="A2" s="3" t="s">
        <v>4</v>
      </c>
      <c r="B2" s="3" t="s">
        <v>5</v>
      </c>
      <c r="C2" s="3" t="s">
        <v>6</v>
      </c>
      <c r="D2" s="3" t="s">
        <v>7</v>
      </c>
      <c r="E2" s="3" t="s">
        <v>7</v>
      </c>
      <c r="F2" s="3" t="s">
        <v>261</v>
      </c>
      <c r="G2" s="3" t="s">
        <v>262</v>
      </c>
      <c r="H2" s="3" t="s">
        <v>262</v>
      </c>
      <c r="I2" s="3" t="s">
        <v>263</v>
      </c>
    </row>
    <row r="3" spans="1:9" ht="30">
      <c r="A3" s="3" t="s">
        <v>8</v>
      </c>
      <c r="B3" s="3" t="s">
        <v>5</v>
      </c>
      <c r="C3" s="3" t="s">
        <v>9</v>
      </c>
      <c r="D3" s="3" t="s">
        <v>10</v>
      </c>
      <c r="E3" s="3" t="s">
        <v>264</v>
      </c>
      <c r="F3" s="3" t="s">
        <v>265</v>
      </c>
      <c r="G3" s="3" t="s">
        <v>266</v>
      </c>
      <c r="H3" s="3" t="s">
        <v>267</v>
      </c>
      <c r="I3" s="3" t="s">
        <v>268</v>
      </c>
    </row>
    <row r="4" spans="1:9" ht="15">
      <c r="A4" s="3" t="s">
        <v>11</v>
      </c>
      <c r="B4" s="3" t="s">
        <v>5</v>
      </c>
      <c r="C4" s="3" t="s">
        <v>12</v>
      </c>
      <c r="D4" s="3" t="s">
        <v>13</v>
      </c>
      <c r="E4" s="3" t="s">
        <v>13</v>
      </c>
      <c r="F4" s="3" t="s">
        <v>261</v>
      </c>
      <c r="G4" s="3" t="s">
        <v>262</v>
      </c>
      <c r="H4" s="3" t="s">
        <v>262</v>
      </c>
      <c r="I4" s="3" t="s">
        <v>269</v>
      </c>
    </row>
    <row r="5" spans="1:9" ht="30">
      <c r="A5" s="3" t="s">
        <v>14</v>
      </c>
      <c r="B5" s="3" t="s">
        <v>5</v>
      </c>
      <c r="C5" s="3" t="s">
        <v>15</v>
      </c>
      <c r="D5" s="3" t="s">
        <v>16</v>
      </c>
      <c r="E5" s="3" t="s">
        <v>16</v>
      </c>
      <c r="F5" s="3" t="s">
        <v>261</v>
      </c>
      <c r="G5" s="3" t="s">
        <v>262</v>
      </c>
      <c r="H5" s="3" t="s">
        <v>262</v>
      </c>
      <c r="I5" s="3" t="s">
        <v>270</v>
      </c>
    </row>
    <row r="6" spans="1:9" ht="30">
      <c r="A6" s="3" t="s">
        <v>17</v>
      </c>
      <c r="B6" s="3" t="s">
        <v>5</v>
      </c>
      <c r="C6" s="3" t="s">
        <v>18</v>
      </c>
      <c r="D6" s="3" t="s">
        <v>19</v>
      </c>
      <c r="E6" s="3" t="s">
        <v>271</v>
      </c>
      <c r="F6" s="3" t="s">
        <v>265</v>
      </c>
      <c r="G6" s="3" t="s">
        <v>266</v>
      </c>
      <c r="H6" s="3" t="s">
        <v>267</v>
      </c>
      <c r="I6" s="3" t="s">
        <v>272</v>
      </c>
    </row>
    <row r="7" spans="1:9" ht="30">
      <c r="A7" s="3" t="s">
        <v>20</v>
      </c>
      <c r="B7" s="3" t="s">
        <v>5</v>
      </c>
      <c r="C7" s="3" t="s">
        <v>21</v>
      </c>
      <c r="D7" s="3" t="s">
        <v>22</v>
      </c>
      <c r="E7" s="3" t="s">
        <v>273</v>
      </c>
      <c r="F7" s="3" t="s">
        <v>265</v>
      </c>
      <c r="G7" s="3" t="s">
        <v>274</v>
      </c>
      <c r="H7" s="3" t="s">
        <v>275</v>
      </c>
      <c r="I7" s="3" t="s">
        <v>276</v>
      </c>
    </row>
    <row r="8" spans="1:9" ht="30">
      <c r="A8" s="3" t="s">
        <v>23</v>
      </c>
      <c r="B8" s="3" t="s">
        <v>5</v>
      </c>
      <c r="C8" s="3" t="s">
        <v>24</v>
      </c>
      <c r="D8" s="3" t="s">
        <v>25</v>
      </c>
      <c r="E8" s="3" t="s">
        <v>25</v>
      </c>
      <c r="F8" s="3" t="s">
        <v>261</v>
      </c>
      <c r="G8" s="3" t="s">
        <v>262</v>
      </c>
      <c r="H8" s="3" t="s">
        <v>262</v>
      </c>
      <c r="I8" s="3" t="s">
        <v>277</v>
      </c>
    </row>
    <row r="9" spans="1:9" ht="15">
      <c r="A9" s="3" t="s">
        <v>26</v>
      </c>
      <c r="B9" s="3" t="s">
        <v>5</v>
      </c>
      <c r="C9" s="3" t="s">
        <v>27</v>
      </c>
      <c r="D9" s="3" t="s">
        <v>28</v>
      </c>
      <c r="E9" s="3" t="s">
        <v>28</v>
      </c>
      <c r="F9" s="3" t="s">
        <v>261</v>
      </c>
      <c r="G9" s="3" t="s">
        <v>262</v>
      </c>
      <c r="H9" s="3" t="s">
        <v>262</v>
      </c>
      <c r="I9" s="3" t="s">
        <v>278</v>
      </c>
    </row>
    <row r="10" spans="1:9" ht="30">
      <c r="A10" s="3" t="s">
        <v>29</v>
      </c>
      <c r="B10" s="3" t="s">
        <v>5</v>
      </c>
      <c r="C10" s="3" t="s">
        <v>30</v>
      </c>
      <c r="D10" s="3" t="s">
        <v>31</v>
      </c>
      <c r="E10" s="3" t="s">
        <v>279</v>
      </c>
      <c r="F10" s="3" t="s">
        <v>265</v>
      </c>
      <c r="G10" s="3" t="s">
        <v>280</v>
      </c>
      <c r="H10" s="3" t="s">
        <v>275</v>
      </c>
      <c r="I10" s="3" t="s">
        <v>281</v>
      </c>
    </row>
    <row r="11" spans="1:9" ht="30">
      <c r="A11" s="3" t="s">
        <v>32</v>
      </c>
      <c r="B11" s="3" t="s">
        <v>5</v>
      </c>
      <c r="C11" s="3" t="s">
        <v>33</v>
      </c>
      <c r="D11" s="3" t="s">
        <v>34</v>
      </c>
      <c r="E11" s="3" t="s">
        <v>282</v>
      </c>
      <c r="F11" s="3" t="s">
        <v>265</v>
      </c>
      <c r="G11" s="3" t="s">
        <v>283</v>
      </c>
      <c r="H11" s="3" t="s">
        <v>275</v>
      </c>
      <c r="I11" s="3" t="s">
        <v>284</v>
      </c>
    </row>
    <row r="12" spans="1:9" ht="16">
      <c r="A12" s="3" t="s">
        <v>35</v>
      </c>
      <c r="B12" s="3" t="s">
        <v>36</v>
      </c>
      <c r="C12" s="3" t="s">
        <v>37</v>
      </c>
      <c r="D12" s="3" t="s">
        <v>38</v>
      </c>
      <c r="E12" s="3" t="s">
        <v>285</v>
      </c>
      <c r="F12" s="3" t="s">
        <v>265</v>
      </c>
      <c r="G12" s="3" t="s">
        <v>283</v>
      </c>
      <c r="H12" s="3" t="s">
        <v>275</v>
      </c>
      <c r="I12" s="3" t="s">
        <v>286</v>
      </c>
    </row>
    <row r="13" spans="1:9" ht="15">
      <c r="A13" s="3" t="s">
        <v>39</v>
      </c>
      <c r="B13" s="3" t="s">
        <v>36</v>
      </c>
      <c r="C13" s="3" t="s">
        <v>40</v>
      </c>
      <c r="D13" s="3" t="s">
        <v>41</v>
      </c>
      <c r="E13" s="3" t="s">
        <v>41</v>
      </c>
      <c r="F13" s="3" t="s">
        <v>261</v>
      </c>
      <c r="G13" s="3" t="s">
        <v>262</v>
      </c>
      <c r="H13" s="3" t="s">
        <v>262</v>
      </c>
      <c r="I13" s="3" t="s">
        <v>287</v>
      </c>
    </row>
    <row r="14" spans="1:9" ht="16">
      <c r="A14" s="3" t="s">
        <v>42</v>
      </c>
      <c r="B14" s="3" t="s">
        <v>36</v>
      </c>
      <c r="C14" s="3" t="s">
        <v>43</v>
      </c>
      <c r="D14" s="3" t="s">
        <v>44</v>
      </c>
      <c r="E14" s="3" t="s">
        <v>288</v>
      </c>
      <c r="F14" s="3" t="s">
        <v>265</v>
      </c>
      <c r="G14" s="3" t="s">
        <v>283</v>
      </c>
      <c r="H14" s="3" t="s">
        <v>275</v>
      </c>
      <c r="I14" s="3" t="s">
        <v>286</v>
      </c>
    </row>
    <row r="15" spans="1:9" ht="16">
      <c r="A15" s="3" t="s">
        <v>45</v>
      </c>
      <c r="B15" s="3" t="s">
        <v>36</v>
      </c>
      <c r="C15" s="3" t="s">
        <v>46</v>
      </c>
      <c r="D15" s="3" t="s">
        <v>47</v>
      </c>
      <c r="E15" s="3" t="s">
        <v>289</v>
      </c>
      <c r="F15" s="3" t="s">
        <v>265</v>
      </c>
      <c r="G15" s="3" t="s">
        <v>266</v>
      </c>
      <c r="H15" s="3" t="s">
        <v>267</v>
      </c>
      <c r="I15" s="3" t="s">
        <v>290</v>
      </c>
    </row>
    <row r="16" spans="1:9" ht="15">
      <c r="A16" s="3" t="s">
        <v>48</v>
      </c>
      <c r="B16" s="3" t="s">
        <v>36</v>
      </c>
      <c r="C16" s="3" t="s">
        <v>49</v>
      </c>
      <c r="D16" s="3" t="s">
        <v>50</v>
      </c>
      <c r="E16" s="3" t="s">
        <v>50</v>
      </c>
      <c r="F16" s="3" t="s">
        <v>261</v>
      </c>
      <c r="G16" s="3" t="s">
        <v>262</v>
      </c>
      <c r="H16" s="3" t="s">
        <v>262</v>
      </c>
      <c r="I16" s="3" t="s">
        <v>291</v>
      </c>
    </row>
    <row r="17" spans="1:9" ht="15">
      <c r="A17" s="3" t="s">
        <v>51</v>
      </c>
      <c r="B17" s="3" t="s">
        <v>36</v>
      </c>
      <c r="C17" s="3" t="s">
        <v>52</v>
      </c>
      <c r="D17" s="3" t="s">
        <v>53</v>
      </c>
      <c r="E17" s="3" t="s">
        <v>53</v>
      </c>
      <c r="F17" s="3" t="s">
        <v>261</v>
      </c>
      <c r="G17" s="3" t="s">
        <v>262</v>
      </c>
      <c r="H17" s="3" t="s">
        <v>262</v>
      </c>
      <c r="I17" s="3" t="s">
        <v>292</v>
      </c>
    </row>
    <row r="18" spans="1:9" ht="15">
      <c r="A18" s="3" t="s">
        <v>54</v>
      </c>
      <c r="B18" s="3" t="s">
        <v>36</v>
      </c>
      <c r="C18" s="3" t="s">
        <v>55</v>
      </c>
      <c r="D18" s="3" t="s">
        <v>56</v>
      </c>
      <c r="E18" s="3" t="s">
        <v>56</v>
      </c>
      <c r="F18" s="3" t="s">
        <v>261</v>
      </c>
      <c r="G18" s="3" t="s">
        <v>262</v>
      </c>
      <c r="H18" s="3" t="s">
        <v>262</v>
      </c>
      <c r="I18" s="3" t="s">
        <v>293</v>
      </c>
    </row>
    <row r="19" spans="1:9" ht="15">
      <c r="A19" s="3" t="s">
        <v>57</v>
      </c>
      <c r="B19" s="3" t="s">
        <v>36</v>
      </c>
      <c r="C19" s="3" t="s">
        <v>58</v>
      </c>
      <c r="D19" s="3" t="s">
        <v>59</v>
      </c>
      <c r="E19" s="3" t="s">
        <v>59</v>
      </c>
      <c r="F19" s="3" t="s">
        <v>261</v>
      </c>
      <c r="G19" s="3" t="s">
        <v>262</v>
      </c>
      <c r="H19" s="3" t="s">
        <v>262</v>
      </c>
      <c r="I19" s="3" t="s">
        <v>291</v>
      </c>
    </row>
    <row r="20" spans="1:9" ht="30">
      <c r="A20" s="3" t="s">
        <v>60</v>
      </c>
      <c r="B20" s="3" t="s">
        <v>36</v>
      </c>
      <c r="C20" s="3" t="s">
        <v>61</v>
      </c>
      <c r="D20" s="3" t="s">
        <v>62</v>
      </c>
      <c r="E20" s="3" t="s">
        <v>294</v>
      </c>
      <c r="F20" s="3" t="s">
        <v>265</v>
      </c>
      <c r="G20" s="3" t="s">
        <v>274</v>
      </c>
      <c r="H20" s="3" t="s">
        <v>275</v>
      </c>
      <c r="I20" s="3" t="s">
        <v>295</v>
      </c>
    </row>
    <row r="21" spans="1:9" ht="15">
      <c r="A21" s="3" t="s">
        <v>63</v>
      </c>
      <c r="B21" s="3" t="s">
        <v>36</v>
      </c>
      <c r="C21" s="3" t="s">
        <v>64</v>
      </c>
      <c r="D21" s="3" t="s">
        <v>65</v>
      </c>
      <c r="E21" s="3" t="s">
        <v>65</v>
      </c>
      <c r="F21" s="3" t="s">
        <v>261</v>
      </c>
      <c r="G21" s="3" t="s">
        <v>262</v>
      </c>
      <c r="H21" s="3" t="s">
        <v>262</v>
      </c>
      <c r="I21" s="3" t="s">
        <v>296</v>
      </c>
    </row>
    <row r="22" spans="1:9" ht="16">
      <c r="A22" s="3" t="s">
        <v>66</v>
      </c>
      <c r="B22" s="3" t="s">
        <v>67</v>
      </c>
      <c r="C22" s="3" t="s">
        <v>68</v>
      </c>
      <c r="D22" s="3" t="s">
        <v>69</v>
      </c>
      <c r="E22" s="3" t="s">
        <v>297</v>
      </c>
      <c r="F22" s="3" t="s">
        <v>265</v>
      </c>
      <c r="G22" s="3" t="s">
        <v>283</v>
      </c>
      <c r="H22" s="3" t="s">
        <v>267</v>
      </c>
      <c r="I22" s="3" t="s">
        <v>298</v>
      </c>
    </row>
    <row r="23" spans="1:9" ht="15">
      <c r="A23" s="3" t="s">
        <v>70</v>
      </c>
      <c r="B23" s="3" t="s">
        <v>67</v>
      </c>
      <c r="C23" s="3" t="s">
        <v>71</v>
      </c>
      <c r="D23" s="3" t="s">
        <v>72</v>
      </c>
      <c r="E23" s="3" t="s">
        <v>72</v>
      </c>
      <c r="F23" s="3" t="s">
        <v>261</v>
      </c>
      <c r="G23" s="3" t="s">
        <v>262</v>
      </c>
      <c r="H23" s="3" t="s">
        <v>262</v>
      </c>
      <c r="I23" s="3" t="s">
        <v>270</v>
      </c>
    </row>
    <row r="24" spans="1:9" ht="30">
      <c r="A24" s="3" t="s">
        <v>73</v>
      </c>
      <c r="B24" s="3" t="s">
        <v>67</v>
      </c>
      <c r="C24" s="3" t="s">
        <v>74</v>
      </c>
      <c r="D24" s="3" t="s">
        <v>75</v>
      </c>
      <c r="E24" s="3" t="s">
        <v>75</v>
      </c>
      <c r="F24" s="3" t="s">
        <v>261</v>
      </c>
      <c r="G24" s="3" t="s">
        <v>262</v>
      </c>
      <c r="H24" s="3" t="s">
        <v>262</v>
      </c>
      <c r="I24" s="3" t="s">
        <v>299</v>
      </c>
    </row>
    <row r="25" spans="1:9" ht="15">
      <c r="A25" s="3" t="s">
        <v>76</v>
      </c>
      <c r="B25" s="3" t="s">
        <v>67</v>
      </c>
      <c r="C25" s="3" t="s">
        <v>77</v>
      </c>
      <c r="D25" s="3" t="s">
        <v>78</v>
      </c>
      <c r="E25" s="3" t="s">
        <v>78</v>
      </c>
      <c r="F25" s="3" t="s">
        <v>261</v>
      </c>
      <c r="G25" s="3" t="s">
        <v>262</v>
      </c>
      <c r="H25" s="3" t="s">
        <v>262</v>
      </c>
      <c r="I25" s="3" t="s">
        <v>299</v>
      </c>
    </row>
    <row r="26" spans="1:9" ht="30">
      <c r="A26" s="3" t="s">
        <v>79</v>
      </c>
      <c r="B26" s="3" t="s">
        <v>67</v>
      </c>
      <c r="C26" s="3" t="s">
        <v>80</v>
      </c>
      <c r="D26" s="3" t="s">
        <v>81</v>
      </c>
      <c r="E26" s="3" t="s">
        <v>300</v>
      </c>
      <c r="F26" s="3" t="s">
        <v>265</v>
      </c>
      <c r="G26" s="3" t="s">
        <v>274</v>
      </c>
      <c r="H26" s="3" t="s">
        <v>275</v>
      </c>
      <c r="I26" s="3" t="s">
        <v>301</v>
      </c>
    </row>
    <row r="27" spans="1:9" ht="30">
      <c r="A27" s="3" t="s">
        <v>82</v>
      </c>
      <c r="B27" s="3" t="s">
        <v>67</v>
      </c>
      <c r="C27" s="3" t="s">
        <v>83</v>
      </c>
      <c r="D27" s="3" t="s">
        <v>84</v>
      </c>
      <c r="E27" s="3" t="s">
        <v>302</v>
      </c>
      <c r="F27" s="3" t="s">
        <v>265</v>
      </c>
      <c r="G27" s="3" t="s">
        <v>274</v>
      </c>
      <c r="H27" s="3" t="s">
        <v>275</v>
      </c>
      <c r="I27" s="3" t="s">
        <v>303</v>
      </c>
    </row>
    <row r="28" spans="1:9" ht="15">
      <c r="A28" s="3" t="s">
        <v>85</v>
      </c>
      <c r="B28" s="3" t="s">
        <v>67</v>
      </c>
      <c r="C28" s="3" t="s">
        <v>86</v>
      </c>
      <c r="D28" s="3" t="s">
        <v>87</v>
      </c>
      <c r="E28" s="3" t="s">
        <v>87</v>
      </c>
      <c r="F28" s="3" t="s">
        <v>261</v>
      </c>
      <c r="G28" s="3" t="s">
        <v>262</v>
      </c>
      <c r="H28" s="3" t="s">
        <v>262</v>
      </c>
      <c r="I28" s="3" t="s">
        <v>304</v>
      </c>
    </row>
    <row r="29" spans="1:9" ht="30">
      <c r="A29" s="3" t="s">
        <v>88</v>
      </c>
      <c r="B29" s="3" t="s">
        <v>67</v>
      </c>
      <c r="C29" s="3" t="s">
        <v>89</v>
      </c>
      <c r="D29" s="3" t="s">
        <v>90</v>
      </c>
      <c r="E29" s="3" t="s">
        <v>305</v>
      </c>
      <c r="F29" s="3" t="s">
        <v>265</v>
      </c>
      <c r="G29" s="3" t="s">
        <v>283</v>
      </c>
      <c r="H29" s="3" t="s">
        <v>275</v>
      </c>
      <c r="I29" s="3" t="s">
        <v>306</v>
      </c>
    </row>
    <row r="30" spans="1:9" ht="30">
      <c r="A30" s="3" t="s">
        <v>91</v>
      </c>
      <c r="B30" s="3" t="s">
        <v>67</v>
      </c>
      <c r="C30" s="3" t="s">
        <v>92</v>
      </c>
      <c r="D30" s="3" t="s">
        <v>93</v>
      </c>
      <c r="E30" s="3" t="s">
        <v>307</v>
      </c>
      <c r="F30" s="3" t="s">
        <v>265</v>
      </c>
      <c r="G30" s="3" t="s">
        <v>283</v>
      </c>
      <c r="H30" s="3" t="s">
        <v>267</v>
      </c>
      <c r="I30" s="3" t="s">
        <v>308</v>
      </c>
    </row>
    <row r="31" spans="1:9" ht="30">
      <c r="A31" s="3" t="s">
        <v>94</v>
      </c>
      <c r="B31" s="3" t="s">
        <v>67</v>
      </c>
      <c r="C31" s="3" t="s">
        <v>95</v>
      </c>
      <c r="D31" s="3" t="s">
        <v>96</v>
      </c>
      <c r="E31" s="3" t="s">
        <v>309</v>
      </c>
      <c r="F31" s="3" t="s">
        <v>265</v>
      </c>
      <c r="G31" s="3" t="s">
        <v>310</v>
      </c>
      <c r="H31" s="3" t="s">
        <v>275</v>
      </c>
      <c r="I31" s="3" t="s">
        <v>311</v>
      </c>
    </row>
    <row r="32" spans="1:9" ht="30">
      <c r="A32" s="3" t="s">
        <v>97</v>
      </c>
      <c r="B32" s="3" t="s">
        <v>98</v>
      </c>
      <c r="C32" s="3" t="s">
        <v>99</v>
      </c>
      <c r="D32" s="3" t="s">
        <v>100</v>
      </c>
      <c r="E32" s="3" t="s">
        <v>312</v>
      </c>
      <c r="F32" s="3" t="s">
        <v>265</v>
      </c>
      <c r="G32" s="3" t="s">
        <v>283</v>
      </c>
      <c r="H32" s="3" t="s">
        <v>267</v>
      </c>
      <c r="I32" s="3" t="s">
        <v>313</v>
      </c>
    </row>
    <row r="33" spans="1:9" ht="30">
      <c r="A33" s="3" t="s">
        <v>101</v>
      </c>
      <c r="B33" s="3" t="s">
        <v>98</v>
      </c>
      <c r="C33" s="3" t="s">
        <v>102</v>
      </c>
      <c r="D33" s="3" t="s">
        <v>103</v>
      </c>
      <c r="E33" s="3" t="s">
        <v>314</v>
      </c>
      <c r="F33" s="3" t="s">
        <v>265</v>
      </c>
      <c r="G33" s="3" t="s">
        <v>274</v>
      </c>
      <c r="H33" s="3" t="s">
        <v>275</v>
      </c>
      <c r="I33" s="3" t="s">
        <v>315</v>
      </c>
    </row>
    <row r="34" spans="1:9" ht="30">
      <c r="A34" s="3" t="s">
        <v>104</v>
      </c>
      <c r="B34" s="3" t="s">
        <v>98</v>
      </c>
      <c r="C34" s="3" t="s">
        <v>105</v>
      </c>
      <c r="D34" s="3" t="s">
        <v>106</v>
      </c>
      <c r="E34" s="3" t="s">
        <v>316</v>
      </c>
      <c r="F34" s="3" t="s">
        <v>265</v>
      </c>
      <c r="G34" s="3" t="s">
        <v>283</v>
      </c>
      <c r="H34" s="3" t="s">
        <v>275</v>
      </c>
      <c r="I34" s="3" t="s">
        <v>317</v>
      </c>
    </row>
    <row r="35" spans="1:9" ht="15">
      <c r="A35" s="3" t="s">
        <v>107</v>
      </c>
      <c r="B35" s="3" t="s">
        <v>98</v>
      </c>
      <c r="C35" s="3" t="s">
        <v>108</v>
      </c>
      <c r="D35" s="3" t="s">
        <v>109</v>
      </c>
      <c r="E35" s="3" t="s">
        <v>109</v>
      </c>
      <c r="F35" s="3" t="s">
        <v>261</v>
      </c>
      <c r="G35" s="3" t="s">
        <v>262</v>
      </c>
      <c r="H35" s="3" t="s">
        <v>262</v>
      </c>
      <c r="I35" s="3" t="s">
        <v>291</v>
      </c>
    </row>
    <row r="36" spans="1:9" ht="15">
      <c r="A36" s="3" t="s">
        <v>110</v>
      </c>
      <c r="B36" s="3" t="s">
        <v>98</v>
      </c>
      <c r="C36" s="3" t="s">
        <v>111</v>
      </c>
      <c r="D36" s="3" t="s">
        <v>112</v>
      </c>
      <c r="E36" s="3" t="s">
        <v>112</v>
      </c>
      <c r="F36" s="3" t="s">
        <v>261</v>
      </c>
      <c r="G36" s="3" t="s">
        <v>262</v>
      </c>
      <c r="H36" s="3" t="s">
        <v>262</v>
      </c>
      <c r="I36" s="3" t="s">
        <v>299</v>
      </c>
    </row>
    <row r="37" spans="1:9" ht="15">
      <c r="A37" s="3" t="s">
        <v>113</v>
      </c>
      <c r="B37" s="3" t="s">
        <v>98</v>
      </c>
      <c r="C37" s="3" t="s">
        <v>114</v>
      </c>
      <c r="D37" s="3" t="s">
        <v>115</v>
      </c>
      <c r="E37" s="3" t="s">
        <v>115</v>
      </c>
      <c r="F37" s="3" t="s">
        <v>261</v>
      </c>
      <c r="G37" s="3" t="s">
        <v>262</v>
      </c>
      <c r="H37" s="3" t="s">
        <v>262</v>
      </c>
      <c r="I37" s="3" t="s">
        <v>291</v>
      </c>
    </row>
    <row r="38" spans="1:9" ht="15">
      <c r="A38" s="3" t="s">
        <v>116</v>
      </c>
      <c r="B38" s="3" t="s">
        <v>98</v>
      </c>
      <c r="C38" s="3" t="s">
        <v>117</v>
      </c>
      <c r="D38" s="3" t="s">
        <v>118</v>
      </c>
      <c r="E38" s="3" t="s">
        <v>118</v>
      </c>
      <c r="F38" s="3" t="s">
        <v>261</v>
      </c>
      <c r="G38" s="3" t="s">
        <v>262</v>
      </c>
      <c r="H38" s="3" t="s">
        <v>262</v>
      </c>
      <c r="I38" s="3" t="s">
        <v>299</v>
      </c>
    </row>
    <row r="39" spans="1:9" ht="30">
      <c r="A39" s="3" t="s">
        <v>119</v>
      </c>
      <c r="B39" s="3" t="s">
        <v>98</v>
      </c>
      <c r="C39" s="3" t="s">
        <v>120</v>
      </c>
      <c r="D39" s="3" t="s">
        <v>121</v>
      </c>
      <c r="E39" s="3" t="s">
        <v>121</v>
      </c>
      <c r="F39" s="3" t="s">
        <v>261</v>
      </c>
      <c r="G39" s="3" t="s">
        <v>262</v>
      </c>
      <c r="H39" s="3" t="s">
        <v>262</v>
      </c>
      <c r="I39" s="3" t="s">
        <v>318</v>
      </c>
    </row>
    <row r="40" spans="1:9" ht="15">
      <c r="A40" s="3" t="s">
        <v>122</v>
      </c>
      <c r="B40" s="3" t="s">
        <v>123</v>
      </c>
      <c r="C40" s="3" t="s">
        <v>124</v>
      </c>
      <c r="D40" s="3" t="s">
        <v>125</v>
      </c>
      <c r="E40" s="3" t="s">
        <v>125</v>
      </c>
      <c r="F40" s="3" t="s">
        <v>261</v>
      </c>
      <c r="G40" s="3" t="s">
        <v>262</v>
      </c>
      <c r="H40" s="3" t="s">
        <v>262</v>
      </c>
      <c r="I40" s="3" t="s">
        <v>299</v>
      </c>
    </row>
    <row r="41" spans="1:9" ht="30">
      <c r="A41" s="3" t="s">
        <v>126</v>
      </c>
      <c r="B41" s="3" t="s">
        <v>123</v>
      </c>
      <c r="C41" s="3" t="s">
        <v>127</v>
      </c>
      <c r="D41" s="3" t="s">
        <v>128</v>
      </c>
      <c r="E41" s="3" t="s">
        <v>319</v>
      </c>
      <c r="F41" s="3" t="s">
        <v>265</v>
      </c>
      <c r="G41" s="3" t="s">
        <v>274</v>
      </c>
      <c r="H41" s="3" t="s">
        <v>275</v>
      </c>
      <c r="I41" s="3" t="s">
        <v>320</v>
      </c>
    </row>
    <row r="42" spans="1:9" ht="16">
      <c r="A42" s="3" t="s">
        <v>129</v>
      </c>
      <c r="B42" s="3" t="s">
        <v>123</v>
      </c>
      <c r="C42" s="3" t="s">
        <v>130</v>
      </c>
      <c r="D42" s="3" t="s">
        <v>131</v>
      </c>
      <c r="E42" s="3" t="s">
        <v>321</v>
      </c>
      <c r="F42" s="3" t="s">
        <v>265</v>
      </c>
      <c r="G42" s="3" t="s">
        <v>274</v>
      </c>
      <c r="H42" s="3" t="s">
        <v>275</v>
      </c>
      <c r="I42" s="3" t="s">
        <v>322</v>
      </c>
    </row>
    <row r="43" spans="1:9" ht="16">
      <c r="A43" s="3" t="s">
        <v>132</v>
      </c>
      <c r="B43" s="3" t="s">
        <v>123</v>
      </c>
      <c r="C43" s="3" t="s">
        <v>133</v>
      </c>
      <c r="D43" s="3" t="s">
        <v>134</v>
      </c>
      <c r="E43" s="3" t="s">
        <v>323</v>
      </c>
      <c r="F43" s="3" t="s">
        <v>265</v>
      </c>
      <c r="G43" s="3" t="s">
        <v>274</v>
      </c>
      <c r="H43" s="3" t="s">
        <v>275</v>
      </c>
      <c r="I43" s="3" t="s">
        <v>324</v>
      </c>
    </row>
    <row r="44" spans="1:9" ht="30">
      <c r="A44" s="3" t="s">
        <v>135</v>
      </c>
      <c r="B44" s="3" t="s">
        <v>123</v>
      </c>
      <c r="C44" s="3" t="s">
        <v>136</v>
      </c>
      <c r="D44" s="3" t="s">
        <v>137</v>
      </c>
      <c r="E44" s="3" t="s">
        <v>325</v>
      </c>
      <c r="F44" s="3" t="s">
        <v>265</v>
      </c>
      <c r="G44" s="3" t="s">
        <v>274</v>
      </c>
      <c r="H44" s="3" t="s">
        <v>267</v>
      </c>
      <c r="I44" s="3" t="s">
        <v>326</v>
      </c>
    </row>
    <row r="45" spans="1:9" ht="30">
      <c r="A45" s="3" t="s">
        <v>138</v>
      </c>
      <c r="B45" s="3" t="s">
        <v>123</v>
      </c>
      <c r="C45" s="3" t="s">
        <v>139</v>
      </c>
      <c r="D45" s="3" t="s">
        <v>140</v>
      </c>
      <c r="E45" s="3" t="s">
        <v>327</v>
      </c>
      <c r="F45" s="3" t="s">
        <v>265</v>
      </c>
      <c r="G45" s="3" t="s">
        <v>274</v>
      </c>
      <c r="H45" s="3" t="s">
        <v>275</v>
      </c>
      <c r="I45" s="3" t="s">
        <v>328</v>
      </c>
    </row>
    <row r="46" spans="1:9" ht="30">
      <c r="A46" s="3" t="s">
        <v>141</v>
      </c>
      <c r="B46" s="3" t="s">
        <v>123</v>
      </c>
      <c r="C46" s="3" t="s">
        <v>142</v>
      </c>
      <c r="D46" s="3" t="s">
        <v>143</v>
      </c>
      <c r="E46" s="3" t="s">
        <v>329</v>
      </c>
      <c r="F46" s="3" t="s">
        <v>265</v>
      </c>
      <c r="G46" s="3" t="s">
        <v>330</v>
      </c>
      <c r="H46" s="3" t="s">
        <v>267</v>
      </c>
      <c r="I46" s="3" t="s">
        <v>331</v>
      </c>
    </row>
    <row r="47" spans="1:9" ht="15">
      <c r="A47" s="3" t="s">
        <v>144</v>
      </c>
      <c r="B47" s="3" t="s">
        <v>123</v>
      </c>
      <c r="C47" s="3" t="s">
        <v>145</v>
      </c>
      <c r="D47" s="3" t="s">
        <v>146</v>
      </c>
      <c r="E47" s="3" t="s">
        <v>146</v>
      </c>
      <c r="F47" s="3" t="s">
        <v>261</v>
      </c>
      <c r="G47" s="3" t="s">
        <v>262</v>
      </c>
      <c r="H47" s="3" t="s">
        <v>262</v>
      </c>
      <c r="I47" s="3" t="s">
        <v>270</v>
      </c>
    </row>
    <row r="48" spans="1:9" ht="15">
      <c r="A48" s="3" t="s">
        <v>147</v>
      </c>
      <c r="B48" s="3" t="s">
        <v>148</v>
      </c>
      <c r="C48" s="3" t="s">
        <v>149</v>
      </c>
      <c r="D48" s="3" t="s">
        <v>150</v>
      </c>
      <c r="E48" s="3" t="s">
        <v>150</v>
      </c>
      <c r="F48" s="3" t="s">
        <v>261</v>
      </c>
      <c r="G48" s="3" t="s">
        <v>262</v>
      </c>
      <c r="H48" s="3" t="s">
        <v>262</v>
      </c>
      <c r="I48" s="3" t="s">
        <v>291</v>
      </c>
    </row>
    <row r="49" spans="1:9" ht="16">
      <c r="A49" s="3" t="s">
        <v>151</v>
      </c>
      <c r="B49" s="3" t="s">
        <v>148</v>
      </c>
      <c r="C49" s="3" t="s">
        <v>152</v>
      </c>
      <c r="D49" s="3" t="s">
        <v>153</v>
      </c>
      <c r="E49" s="3" t="s">
        <v>332</v>
      </c>
      <c r="F49" s="3" t="s">
        <v>265</v>
      </c>
      <c r="G49" s="3" t="s">
        <v>283</v>
      </c>
      <c r="H49" s="3" t="s">
        <v>275</v>
      </c>
      <c r="I49" s="3" t="s">
        <v>333</v>
      </c>
    </row>
    <row r="50" spans="1:9" ht="15">
      <c r="A50" s="3" t="s">
        <v>154</v>
      </c>
      <c r="B50" s="3" t="s">
        <v>148</v>
      </c>
      <c r="C50" s="3" t="s">
        <v>155</v>
      </c>
      <c r="D50" s="3" t="s">
        <v>156</v>
      </c>
      <c r="E50" s="3" t="s">
        <v>156</v>
      </c>
      <c r="F50" s="3" t="s">
        <v>261</v>
      </c>
      <c r="G50" s="3" t="s">
        <v>262</v>
      </c>
      <c r="H50" s="3" t="s">
        <v>262</v>
      </c>
      <c r="I50" s="3" t="s">
        <v>277</v>
      </c>
    </row>
    <row r="51" spans="1:9" ht="15">
      <c r="A51" s="3" t="s">
        <v>157</v>
      </c>
      <c r="B51" s="3" t="s">
        <v>148</v>
      </c>
      <c r="C51" s="3" t="s">
        <v>158</v>
      </c>
      <c r="D51" s="3" t="s">
        <v>159</v>
      </c>
      <c r="E51" s="3" t="s">
        <v>159</v>
      </c>
      <c r="F51" s="3" t="s">
        <v>261</v>
      </c>
      <c r="G51" s="3" t="s">
        <v>262</v>
      </c>
      <c r="H51" s="3" t="s">
        <v>262</v>
      </c>
      <c r="I51" s="3" t="s">
        <v>299</v>
      </c>
    </row>
    <row r="52" spans="1:9" ht="16">
      <c r="A52" s="3" t="s">
        <v>160</v>
      </c>
      <c r="B52" s="3" t="s">
        <v>148</v>
      </c>
      <c r="C52" s="3" t="s">
        <v>161</v>
      </c>
      <c r="D52" s="3" t="s">
        <v>162</v>
      </c>
      <c r="E52" s="3" t="s">
        <v>334</v>
      </c>
      <c r="F52" s="3" t="s">
        <v>265</v>
      </c>
      <c r="G52" s="3" t="s">
        <v>330</v>
      </c>
      <c r="H52" s="3" t="s">
        <v>275</v>
      </c>
      <c r="I52" s="3" t="s">
        <v>335</v>
      </c>
    </row>
    <row r="53" spans="1:9" ht="15">
      <c r="A53" s="3" t="s">
        <v>163</v>
      </c>
      <c r="B53" s="3" t="s">
        <v>148</v>
      </c>
      <c r="C53" s="3" t="s">
        <v>164</v>
      </c>
      <c r="D53" s="3" t="s">
        <v>165</v>
      </c>
      <c r="E53" s="3" t="s">
        <v>165</v>
      </c>
      <c r="F53" s="3" t="s">
        <v>261</v>
      </c>
      <c r="G53" s="3" t="s">
        <v>262</v>
      </c>
      <c r="H53" s="3" t="s">
        <v>262</v>
      </c>
      <c r="I53" s="3" t="s">
        <v>299</v>
      </c>
    </row>
    <row r="54" spans="1:9" ht="15">
      <c r="A54" s="3" t="s">
        <v>166</v>
      </c>
      <c r="B54" s="3" t="s">
        <v>148</v>
      </c>
      <c r="C54" s="3" t="s">
        <v>167</v>
      </c>
      <c r="D54" s="3" t="s">
        <v>168</v>
      </c>
      <c r="E54" s="3" t="s">
        <v>168</v>
      </c>
      <c r="F54" s="3" t="s">
        <v>261</v>
      </c>
      <c r="G54" s="3" t="s">
        <v>262</v>
      </c>
      <c r="H54" s="3" t="s">
        <v>262</v>
      </c>
      <c r="I54" s="3" t="s">
        <v>336</v>
      </c>
    </row>
    <row r="55" spans="1:9" ht="30">
      <c r="A55" s="3" t="s">
        <v>169</v>
      </c>
      <c r="B55" s="3" t="s">
        <v>148</v>
      </c>
      <c r="C55" s="3" t="s">
        <v>170</v>
      </c>
      <c r="D55" s="3" t="s">
        <v>171</v>
      </c>
      <c r="E55" s="3" t="s">
        <v>337</v>
      </c>
      <c r="F55" s="3" t="s">
        <v>265</v>
      </c>
      <c r="G55" s="3" t="s">
        <v>283</v>
      </c>
      <c r="H55" s="3" t="s">
        <v>275</v>
      </c>
      <c r="I55" s="3" t="s">
        <v>338</v>
      </c>
    </row>
    <row r="56" spans="1:9" ht="30">
      <c r="A56" s="3" t="s">
        <v>172</v>
      </c>
      <c r="B56" s="3" t="s">
        <v>173</v>
      </c>
      <c r="C56" s="3" t="s">
        <v>174</v>
      </c>
      <c r="D56" s="3" t="s">
        <v>175</v>
      </c>
      <c r="E56" s="3" t="s">
        <v>339</v>
      </c>
      <c r="F56" s="3" t="s">
        <v>265</v>
      </c>
      <c r="G56" s="3" t="s">
        <v>266</v>
      </c>
      <c r="H56" s="3" t="s">
        <v>267</v>
      </c>
      <c r="I56" s="3" t="s">
        <v>340</v>
      </c>
    </row>
    <row r="57" spans="1:9" ht="16">
      <c r="A57" s="3" t="s">
        <v>176</v>
      </c>
      <c r="B57" s="3" t="s">
        <v>173</v>
      </c>
      <c r="C57" s="3" t="s">
        <v>177</v>
      </c>
      <c r="D57" s="3" t="s">
        <v>178</v>
      </c>
      <c r="E57" s="3" t="s">
        <v>341</v>
      </c>
      <c r="F57" s="3" t="s">
        <v>265</v>
      </c>
      <c r="G57" s="3" t="s">
        <v>274</v>
      </c>
      <c r="H57" s="3" t="s">
        <v>275</v>
      </c>
      <c r="I57" s="3" t="s">
        <v>342</v>
      </c>
    </row>
    <row r="58" spans="1:9" ht="30">
      <c r="A58" s="3" t="s">
        <v>179</v>
      </c>
      <c r="B58" s="3" t="s">
        <v>173</v>
      </c>
      <c r="C58" s="3" t="s">
        <v>180</v>
      </c>
      <c r="D58" s="3" t="s">
        <v>181</v>
      </c>
      <c r="E58" s="3" t="s">
        <v>343</v>
      </c>
      <c r="F58" s="3" t="s">
        <v>265</v>
      </c>
      <c r="G58" s="3" t="s">
        <v>274</v>
      </c>
      <c r="H58" s="3" t="s">
        <v>275</v>
      </c>
      <c r="I58" s="3" t="s">
        <v>344</v>
      </c>
    </row>
    <row r="59" spans="1:9" ht="30">
      <c r="A59" s="3" t="s">
        <v>182</v>
      </c>
      <c r="B59" s="3" t="s">
        <v>173</v>
      </c>
      <c r="C59" s="3" t="s">
        <v>183</v>
      </c>
      <c r="D59" s="3" t="s">
        <v>184</v>
      </c>
      <c r="E59" s="3" t="s">
        <v>345</v>
      </c>
      <c r="F59" s="3" t="s">
        <v>265</v>
      </c>
      <c r="G59" s="3" t="s">
        <v>330</v>
      </c>
      <c r="H59" s="3" t="s">
        <v>275</v>
      </c>
      <c r="I59" s="3" t="s">
        <v>346</v>
      </c>
    </row>
    <row r="60" spans="1:9" ht="30">
      <c r="A60" s="3" t="s">
        <v>185</v>
      </c>
      <c r="B60" s="3" t="s">
        <v>173</v>
      </c>
      <c r="C60" s="3" t="s">
        <v>186</v>
      </c>
      <c r="D60" s="3" t="s">
        <v>187</v>
      </c>
      <c r="E60" s="3" t="s">
        <v>347</v>
      </c>
      <c r="F60" s="3" t="s">
        <v>265</v>
      </c>
      <c r="G60" s="3" t="s">
        <v>274</v>
      </c>
      <c r="H60" s="3" t="s">
        <v>275</v>
      </c>
      <c r="I60" s="3" t="s">
        <v>348</v>
      </c>
    </row>
    <row r="61" spans="1:9" ht="15">
      <c r="A61" s="3" t="s">
        <v>188</v>
      </c>
      <c r="B61" s="3" t="s">
        <v>173</v>
      </c>
      <c r="C61" s="3" t="s">
        <v>189</v>
      </c>
      <c r="D61" s="3" t="s">
        <v>190</v>
      </c>
      <c r="E61" s="3" t="s">
        <v>190</v>
      </c>
      <c r="F61" s="3" t="s">
        <v>261</v>
      </c>
      <c r="G61" s="3" t="s">
        <v>262</v>
      </c>
      <c r="H61" s="3" t="s">
        <v>262</v>
      </c>
      <c r="I61" s="3" t="s">
        <v>299</v>
      </c>
    </row>
    <row r="62" spans="1:9" ht="30">
      <c r="A62" s="3" t="s">
        <v>191</v>
      </c>
      <c r="B62" s="3" t="s">
        <v>173</v>
      </c>
      <c r="C62" s="3" t="s">
        <v>192</v>
      </c>
      <c r="D62" s="3" t="s">
        <v>193</v>
      </c>
      <c r="E62" s="3" t="s">
        <v>349</v>
      </c>
      <c r="F62" s="3" t="s">
        <v>265</v>
      </c>
      <c r="G62" s="3" t="s">
        <v>266</v>
      </c>
      <c r="H62" s="3" t="s">
        <v>267</v>
      </c>
      <c r="I62" s="3" t="s">
        <v>268</v>
      </c>
    </row>
    <row r="63" spans="1:9" ht="16">
      <c r="A63" s="3" t="s">
        <v>194</v>
      </c>
      <c r="B63" s="3" t="s">
        <v>173</v>
      </c>
      <c r="C63" s="3" t="s">
        <v>195</v>
      </c>
      <c r="D63" s="3" t="s">
        <v>196</v>
      </c>
      <c r="E63" s="3" t="s">
        <v>350</v>
      </c>
      <c r="F63" s="3" t="s">
        <v>265</v>
      </c>
      <c r="G63" s="3" t="s">
        <v>274</v>
      </c>
      <c r="H63" s="3" t="s">
        <v>275</v>
      </c>
      <c r="I63" s="3" t="s">
        <v>351</v>
      </c>
    </row>
    <row r="64" spans="1:9" ht="16">
      <c r="A64" s="3" t="s">
        <v>197</v>
      </c>
      <c r="B64" s="3" t="s">
        <v>198</v>
      </c>
      <c r="C64" s="3" t="s">
        <v>199</v>
      </c>
      <c r="D64" s="3" t="s">
        <v>200</v>
      </c>
      <c r="E64" s="3" t="s">
        <v>352</v>
      </c>
      <c r="F64" s="3" t="s">
        <v>265</v>
      </c>
      <c r="G64" s="3" t="s">
        <v>274</v>
      </c>
      <c r="H64" s="3" t="s">
        <v>267</v>
      </c>
      <c r="I64" s="3" t="s">
        <v>353</v>
      </c>
    </row>
    <row r="65" spans="1:9" ht="15">
      <c r="A65" s="3" t="s">
        <v>201</v>
      </c>
      <c r="B65" s="3" t="s">
        <v>198</v>
      </c>
      <c r="C65" s="3" t="s">
        <v>202</v>
      </c>
      <c r="D65" s="3" t="s">
        <v>203</v>
      </c>
      <c r="E65" s="3" t="s">
        <v>203</v>
      </c>
      <c r="F65" s="3" t="s">
        <v>261</v>
      </c>
      <c r="G65" s="3" t="s">
        <v>262</v>
      </c>
      <c r="H65" s="3" t="s">
        <v>262</v>
      </c>
      <c r="I65" s="3" t="s">
        <v>270</v>
      </c>
    </row>
    <row r="66" spans="1:9" ht="15">
      <c r="A66" s="3" t="s">
        <v>204</v>
      </c>
      <c r="B66" s="3" t="s">
        <v>198</v>
      </c>
      <c r="C66" s="3" t="s">
        <v>205</v>
      </c>
      <c r="D66" s="3" t="s">
        <v>206</v>
      </c>
      <c r="E66" s="3" t="s">
        <v>206</v>
      </c>
      <c r="F66" s="3" t="s">
        <v>261</v>
      </c>
      <c r="G66" s="3" t="s">
        <v>262</v>
      </c>
      <c r="H66" s="3" t="s">
        <v>262</v>
      </c>
      <c r="I66" s="3" t="s">
        <v>299</v>
      </c>
    </row>
    <row r="67" spans="1:9" ht="30">
      <c r="A67" s="3" t="s">
        <v>207</v>
      </c>
      <c r="B67" s="3" t="s">
        <v>198</v>
      </c>
      <c r="C67" s="3" t="s">
        <v>208</v>
      </c>
      <c r="D67" s="3" t="s">
        <v>209</v>
      </c>
      <c r="E67" s="3" t="s">
        <v>354</v>
      </c>
      <c r="F67" s="3" t="s">
        <v>265</v>
      </c>
      <c r="G67" s="3" t="s">
        <v>274</v>
      </c>
      <c r="H67" s="3" t="s">
        <v>267</v>
      </c>
      <c r="I67" s="3" t="s">
        <v>355</v>
      </c>
    </row>
    <row r="68" spans="1:9" ht="30">
      <c r="A68" s="3" t="s">
        <v>210</v>
      </c>
      <c r="B68" s="3" t="s">
        <v>198</v>
      </c>
      <c r="C68" s="3" t="s">
        <v>211</v>
      </c>
      <c r="D68" s="3" t="s">
        <v>212</v>
      </c>
      <c r="E68" s="3" t="s">
        <v>356</v>
      </c>
      <c r="F68" s="3" t="s">
        <v>265</v>
      </c>
      <c r="G68" s="3" t="s">
        <v>274</v>
      </c>
      <c r="H68" s="3" t="s">
        <v>275</v>
      </c>
      <c r="I68" s="3" t="s">
        <v>357</v>
      </c>
    </row>
    <row r="69" spans="1:9" ht="16">
      <c r="A69" s="3" t="s">
        <v>213</v>
      </c>
      <c r="B69" s="3" t="s">
        <v>198</v>
      </c>
      <c r="C69" s="3" t="s">
        <v>214</v>
      </c>
      <c r="D69" s="3" t="s">
        <v>215</v>
      </c>
      <c r="E69" s="3" t="s">
        <v>358</v>
      </c>
      <c r="F69" s="3" t="s">
        <v>265</v>
      </c>
      <c r="G69" s="3" t="s">
        <v>310</v>
      </c>
      <c r="H69" s="3" t="s">
        <v>275</v>
      </c>
      <c r="I69" s="3" t="s">
        <v>359</v>
      </c>
    </row>
    <row r="70" spans="1:9" ht="30">
      <c r="A70" s="3" t="s">
        <v>216</v>
      </c>
      <c r="B70" s="3" t="s">
        <v>217</v>
      </c>
      <c r="C70" s="3" t="s">
        <v>218</v>
      </c>
      <c r="D70" s="3" t="s">
        <v>219</v>
      </c>
      <c r="E70" s="3" t="s">
        <v>360</v>
      </c>
      <c r="F70" s="3" t="s">
        <v>265</v>
      </c>
      <c r="G70" s="3" t="s">
        <v>274</v>
      </c>
      <c r="H70" s="3" t="s">
        <v>275</v>
      </c>
      <c r="I70" s="3" t="s">
        <v>361</v>
      </c>
    </row>
    <row r="71" spans="1:9" ht="30">
      <c r="A71" s="3" t="s">
        <v>220</v>
      </c>
      <c r="B71" s="3" t="s">
        <v>217</v>
      </c>
      <c r="C71" s="3" t="s">
        <v>221</v>
      </c>
      <c r="D71" s="3" t="s">
        <v>222</v>
      </c>
      <c r="E71" s="3" t="s">
        <v>362</v>
      </c>
      <c r="F71" s="3" t="s">
        <v>265</v>
      </c>
      <c r="G71" s="3" t="s">
        <v>274</v>
      </c>
      <c r="H71" s="3" t="s">
        <v>267</v>
      </c>
      <c r="I71" s="3" t="s">
        <v>363</v>
      </c>
    </row>
    <row r="72" spans="1:9" ht="30">
      <c r="A72" s="3" t="s">
        <v>223</v>
      </c>
      <c r="B72" s="3" t="s">
        <v>217</v>
      </c>
      <c r="C72" s="3" t="s">
        <v>224</v>
      </c>
      <c r="D72" s="3" t="s">
        <v>225</v>
      </c>
      <c r="E72" s="3" t="s">
        <v>364</v>
      </c>
      <c r="F72" s="3" t="s">
        <v>265</v>
      </c>
      <c r="G72" s="3" t="s">
        <v>274</v>
      </c>
      <c r="H72" s="3" t="s">
        <v>275</v>
      </c>
      <c r="I72" s="3" t="s">
        <v>365</v>
      </c>
    </row>
    <row r="73" spans="1:9" ht="30">
      <c r="A73" s="3" t="s">
        <v>226</v>
      </c>
      <c r="B73" s="3" t="s">
        <v>217</v>
      </c>
      <c r="C73" s="3" t="s">
        <v>227</v>
      </c>
      <c r="D73" s="3" t="s">
        <v>228</v>
      </c>
      <c r="E73" s="3" t="s">
        <v>366</v>
      </c>
      <c r="F73" s="3" t="s">
        <v>265</v>
      </c>
      <c r="G73" s="3" t="s">
        <v>283</v>
      </c>
      <c r="H73" s="3" t="s">
        <v>275</v>
      </c>
      <c r="I73" s="3" t="s">
        <v>367</v>
      </c>
    </row>
    <row r="74" spans="1:9" ht="16">
      <c r="A74" s="3" t="s">
        <v>229</v>
      </c>
      <c r="B74" s="3" t="s">
        <v>230</v>
      </c>
      <c r="C74" s="3" t="s">
        <v>231</v>
      </c>
      <c r="D74" s="3" t="s">
        <v>232</v>
      </c>
      <c r="E74" s="3" t="s">
        <v>368</v>
      </c>
      <c r="F74" s="3" t="s">
        <v>265</v>
      </c>
      <c r="G74" s="3" t="s">
        <v>274</v>
      </c>
      <c r="H74" s="3" t="s">
        <v>275</v>
      </c>
      <c r="I74" s="3" t="s">
        <v>348</v>
      </c>
    </row>
    <row r="75" spans="1:9" ht="16">
      <c r="A75" s="3" t="s">
        <v>233</v>
      </c>
      <c r="B75" s="3" t="s">
        <v>230</v>
      </c>
      <c r="C75" s="3" t="s">
        <v>234</v>
      </c>
      <c r="D75" s="3" t="s">
        <v>235</v>
      </c>
      <c r="E75" s="3" t="s">
        <v>369</v>
      </c>
      <c r="F75" s="3" t="s">
        <v>265</v>
      </c>
      <c r="G75" s="3" t="s">
        <v>274</v>
      </c>
      <c r="H75" s="3" t="s">
        <v>275</v>
      </c>
      <c r="I75" s="3" t="s">
        <v>370</v>
      </c>
    </row>
    <row r="76" spans="1:9" ht="16">
      <c r="A76" s="3" t="s">
        <v>236</v>
      </c>
      <c r="B76" s="3" t="s">
        <v>230</v>
      </c>
      <c r="C76" s="3" t="s">
        <v>237</v>
      </c>
      <c r="D76" s="3" t="s">
        <v>238</v>
      </c>
      <c r="E76" s="3" t="s">
        <v>371</v>
      </c>
      <c r="F76" s="3" t="s">
        <v>265</v>
      </c>
      <c r="G76" s="3" t="s">
        <v>274</v>
      </c>
      <c r="H76" s="3" t="s">
        <v>275</v>
      </c>
      <c r="I76" s="3" t="s">
        <v>372</v>
      </c>
    </row>
  </sheetData>
  <conditionalFormatting sqref="F2:F76">
    <cfRule type="expression" dxfId="3" priority="1">
      <formula>F2="Corrected"</formula>
    </cfRule>
    <cfRule type="expression" dxfId="2" priority="2">
      <formula>F2="Approved"</formula>
    </cfRule>
  </conditionalFormatting>
  <conditionalFormatting sqref="H2:H76">
    <cfRule type="expression" dxfId="1" priority="3">
      <formula>H2="Major"</formula>
    </cfRule>
    <cfRule type="expression" dxfId="0" priority="4">
      <formula>H2="Minor"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baseColWidth="10" defaultColWidth="8.83203125" defaultRowHeight="14"/>
  <cols>
    <col min="1" max="1" width="22" customWidth="1"/>
    <col min="2" max="2" width="28" customWidth="1"/>
    <col min="3" max="3" width="62" customWidth="1"/>
  </cols>
  <sheetData>
    <row r="1" spans="1:3" ht="16">
      <c r="A1" s="6" t="s">
        <v>373</v>
      </c>
      <c r="B1" s="6" t="s">
        <v>374</v>
      </c>
      <c r="C1" s="6" t="s">
        <v>375</v>
      </c>
    </row>
    <row r="2" spans="1:3" ht="15">
      <c r="A2" s="2" t="s">
        <v>376</v>
      </c>
      <c r="B2" s="2" t="s">
        <v>377</v>
      </c>
      <c r="C2" s="2" t="s">
        <v>378</v>
      </c>
    </row>
    <row r="3" spans="1:3" ht="15">
      <c r="A3" s="2" t="s">
        <v>67</v>
      </c>
      <c r="B3" s="2" t="s">
        <v>297</v>
      </c>
      <c r="C3" s="2" t="s">
        <v>379</v>
      </c>
    </row>
    <row r="4" spans="1:3" ht="15">
      <c r="A4" s="2" t="s">
        <v>98</v>
      </c>
      <c r="B4" s="2" t="s">
        <v>380</v>
      </c>
      <c r="C4" s="2" t="s">
        <v>381</v>
      </c>
    </row>
    <row r="5" spans="1:3" ht="15">
      <c r="A5" s="2" t="s">
        <v>382</v>
      </c>
      <c r="B5" s="2" t="s">
        <v>383</v>
      </c>
      <c r="C5" s="2" t="s">
        <v>384</v>
      </c>
    </row>
    <row r="6" spans="1:3" ht="15">
      <c r="A6" s="2" t="s">
        <v>385</v>
      </c>
      <c r="B6" s="2" t="s">
        <v>386</v>
      </c>
      <c r="C6" s="2" t="s">
        <v>387</v>
      </c>
    </row>
    <row r="7" spans="1:3" ht="15">
      <c r="A7" s="2" t="s">
        <v>388</v>
      </c>
      <c r="B7" s="2" t="s">
        <v>389</v>
      </c>
      <c r="C7" s="2" t="s">
        <v>390</v>
      </c>
    </row>
    <row r="8" spans="1:3" ht="15">
      <c r="A8" s="2" t="s">
        <v>391</v>
      </c>
      <c r="B8" s="2" t="s">
        <v>392</v>
      </c>
      <c r="C8" s="2" t="s">
        <v>390</v>
      </c>
    </row>
    <row r="9" spans="1:3" ht="15">
      <c r="A9" s="2" t="s">
        <v>5</v>
      </c>
      <c r="B9" s="2" t="s">
        <v>393</v>
      </c>
      <c r="C9" s="2" t="s">
        <v>390</v>
      </c>
    </row>
    <row r="10" spans="1:3" ht="15">
      <c r="A10" s="2" t="s">
        <v>394</v>
      </c>
      <c r="B10" s="2" t="s">
        <v>395</v>
      </c>
      <c r="C10" s="2" t="s">
        <v>390</v>
      </c>
    </row>
    <row r="11" spans="1:3" ht="15">
      <c r="A11" s="2" t="s">
        <v>396</v>
      </c>
      <c r="B11" s="2" t="s">
        <v>397</v>
      </c>
      <c r="C11" s="2" t="s">
        <v>398</v>
      </c>
    </row>
    <row r="12" spans="1:3" ht="15">
      <c r="A12" s="2" t="s">
        <v>399</v>
      </c>
      <c r="B12" s="2" t="s">
        <v>400</v>
      </c>
      <c r="C12" s="2" t="s">
        <v>401</v>
      </c>
    </row>
    <row r="13" spans="1:3" ht="15">
      <c r="A13" s="2" t="s">
        <v>402</v>
      </c>
      <c r="B13" s="2" t="s">
        <v>403</v>
      </c>
      <c r="C13" s="2" t="s">
        <v>404</v>
      </c>
    </row>
    <row r="14" spans="1:3" ht="15">
      <c r="A14" s="2" t="s">
        <v>405</v>
      </c>
      <c r="B14" s="2" t="s">
        <v>406</v>
      </c>
      <c r="C14" s="2" t="s">
        <v>407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>
      <selection sqref="A1:H1"/>
    </sheetView>
  </sheetViews>
  <sheetFormatPr baseColWidth="10" defaultColWidth="8.83203125" defaultRowHeight="14"/>
  <cols>
    <col min="1" max="1" width="24" customWidth="1"/>
    <col min="2" max="2" width="16" customWidth="1"/>
    <col min="4" max="4" width="24" customWidth="1"/>
    <col min="5" max="6" width="14" customWidth="1"/>
    <col min="7" max="7" width="18" customWidth="1"/>
  </cols>
  <sheetData>
    <row r="1" spans="1:8" ht="21">
      <c r="A1" s="11" t="s">
        <v>408</v>
      </c>
      <c r="B1" s="11"/>
      <c r="C1" s="11"/>
      <c r="D1" s="11"/>
      <c r="E1" s="11"/>
      <c r="F1" s="11"/>
      <c r="G1" s="11"/>
      <c r="H1" s="11"/>
    </row>
    <row r="3" spans="1:8" ht="16">
      <c r="A3" s="7" t="s">
        <v>409</v>
      </c>
      <c r="B3" s="7" t="s">
        <v>410</v>
      </c>
      <c r="C3" s="2"/>
      <c r="D3" s="7" t="s">
        <v>259</v>
      </c>
      <c r="E3" s="7" t="s">
        <v>411</v>
      </c>
      <c r="F3" s="2"/>
      <c r="G3" s="2"/>
    </row>
    <row r="4" spans="1:8" ht="15">
      <c r="A4" s="2" t="s">
        <v>412</v>
      </c>
      <c r="B4" s="2">
        <f>COUNTA(QA_Review!A2:A76)</f>
        <v>75</v>
      </c>
      <c r="C4" s="2"/>
      <c r="D4" s="2" t="s">
        <v>267</v>
      </c>
      <c r="E4" s="2">
        <f>COUNTIF(QA_Review!H2:H76,"Major")</f>
        <v>13</v>
      </c>
      <c r="F4" s="2"/>
      <c r="G4" s="2"/>
    </row>
    <row r="5" spans="1:8" ht="15">
      <c r="A5" s="2" t="s">
        <v>261</v>
      </c>
      <c r="B5" s="2">
        <f>COUNTIF(QA_Review!F2:F76,"Approved")</f>
        <v>30</v>
      </c>
      <c r="C5" s="2"/>
      <c r="D5" s="2" t="s">
        <v>275</v>
      </c>
      <c r="E5" s="2">
        <f>COUNTIF(QA_Review!H2:H76,"Minor")</f>
        <v>32</v>
      </c>
      <c r="F5" s="2"/>
      <c r="G5" s="2"/>
    </row>
    <row r="6" spans="1:8" ht="15">
      <c r="A6" s="2" t="s">
        <v>265</v>
      </c>
      <c r="B6" s="2">
        <f>COUNTIF(QA_Review!F2:F76,"Corrected")</f>
        <v>45</v>
      </c>
      <c r="C6" s="2"/>
      <c r="D6" s="2" t="s">
        <v>262</v>
      </c>
      <c r="E6" s="2">
        <f>COUNTIF(QA_Review!H2:H76,"None")</f>
        <v>30</v>
      </c>
      <c r="F6" s="2"/>
      <c r="G6" s="2"/>
    </row>
    <row r="7" spans="1:8" ht="15">
      <c r="A7" s="2" t="s">
        <v>413</v>
      </c>
      <c r="B7" s="8">
        <f>B5/B4</f>
        <v>0.4</v>
      </c>
      <c r="C7" s="2"/>
      <c r="D7" s="2"/>
      <c r="E7" s="2"/>
      <c r="F7" s="2"/>
      <c r="G7" s="2"/>
    </row>
    <row r="8" spans="1:8" ht="15">
      <c r="A8" s="2" t="s">
        <v>414</v>
      </c>
      <c r="B8" s="8">
        <f>B6/B4</f>
        <v>0.6</v>
      </c>
      <c r="C8" s="2"/>
      <c r="D8" s="2"/>
      <c r="E8" s="2"/>
      <c r="F8" s="2"/>
      <c r="G8" s="2"/>
    </row>
    <row r="9" spans="1:8">
      <c r="A9" s="2"/>
      <c r="B9" s="2"/>
      <c r="C9" s="2"/>
      <c r="D9" s="2"/>
      <c r="E9" s="2"/>
      <c r="F9" s="2"/>
      <c r="G9" s="2"/>
    </row>
    <row r="10" spans="1:8">
      <c r="A10" s="2"/>
      <c r="B10" s="2"/>
      <c r="C10" s="2"/>
      <c r="D10" s="2"/>
      <c r="E10" s="2"/>
      <c r="F10" s="2"/>
      <c r="G10" s="2"/>
    </row>
    <row r="11" spans="1:8" ht="16">
      <c r="A11" s="7" t="s">
        <v>415</v>
      </c>
      <c r="B11" s="7" t="s">
        <v>411</v>
      </c>
      <c r="C11" s="2"/>
      <c r="D11" s="7" t="s">
        <v>1</v>
      </c>
      <c r="E11" s="7" t="s">
        <v>416</v>
      </c>
      <c r="F11" s="7" t="s">
        <v>265</v>
      </c>
      <c r="G11" s="7" t="s">
        <v>417</v>
      </c>
    </row>
    <row r="12" spans="1:8" ht="15">
      <c r="A12" s="2" t="s">
        <v>280</v>
      </c>
      <c r="B12" s="2">
        <f>COUNTIF(QA_Review!G2:G76,A12)</f>
        <v>1</v>
      </c>
      <c r="C12" s="2"/>
      <c r="D12" s="2" t="s">
        <v>5</v>
      </c>
      <c r="E12" s="2">
        <f>COUNTIF(QA_Review!B2:B76,D12)</f>
        <v>10</v>
      </c>
      <c r="F12" s="2">
        <f>COUNTIFS(QA_Review!B2:B76,D12,QA_Review!F2:F76,"Corrected")</f>
        <v>5</v>
      </c>
      <c r="G12" s="8">
        <f t="shared" ref="G12:G21" si="0">IFERROR(F12/E12,0)</f>
        <v>0.5</v>
      </c>
    </row>
    <row r="13" spans="1:8" ht="15">
      <c r="A13" s="2" t="s">
        <v>330</v>
      </c>
      <c r="B13" s="2">
        <f>COUNTIF(QA_Review!G2:G76,A13)</f>
        <v>3</v>
      </c>
      <c r="C13" s="2"/>
      <c r="D13" s="2" t="s">
        <v>36</v>
      </c>
      <c r="E13" s="2">
        <f>COUNTIF(QA_Review!B2:B76,D13)</f>
        <v>10</v>
      </c>
      <c r="F13" s="2">
        <f>COUNTIFS(QA_Review!B2:B76,D13,QA_Review!F2:F76,"Corrected")</f>
        <v>4</v>
      </c>
      <c r="G13" s="8">
        <f t="shared" si="0"/>
        <v>0.4</v>
      </c>
    </row>
    <row r="14" spans="1:8" ht="15">
      <c r="A14" s="2" t="s">
        <v>283</v>
      </c>
      <c r="B14" s="2">
        <f>COUNTIF(QA_Review!G2:G76,A14)</f>
        <v>11</v>
      </c>
      <c r="C14" s="2"/>
      <c r="D14" s="2" t="s">
        <v>67</v>
      </c>
      <c r="E14" s="2">
        <f>COUNTIF(QA_Review!B2:B76,D14)</f>
        <v>10</v>
      </c>
      <c r="F14" s="2">
        <f>COUNTIFS(QA_Review!B2:B76,D14,QA_Review!F2:F76,"Corrected")</f>
        <v>6</v>
      </c>
      <c r="G14" s="8">
        <f t="shared" si="0"/>
        <v>0.6</v>
      </c>
    </row>
    <row r="15" spans="1:8" ht="15">
      <c r="A15" s="2" t="s">
        <v>266</v>
      </c>
      <c r="B15" s="2">
        <f>COUNTIF(QA_Review!G2:G76,A15)</f>
        <v>5</v>
      </c>
      <c r="C15" s="2"/>
      <c r="D15" s="2" t="s">
        <v>98</v>
      </c>
      <c r="E15" s="2">
        <f>COUNTIF(QA_Review!B2:B76,D15)</f>
        <v>8</v>
      </c>
      <c r="F15" s="2">
        <f>COUNTIFS(QA_Review!B2:B76,D15,QA_Review!F2:F76,"Corrected")</f>
        <v>3</v>
      </c>
      <c r="G15" s="8">
        <f t="shared" si="0"/>
        <v>0.375</v>
      </c>
    </row>
    <row r="16" spans="1:8" ht="15">
      <c r="A16" s="2" t="s">
        <v>274</v>
      </c>
      <c r="B16" s="2">
        <f>COUNTIF(QA_Review!G2:G76,A16)</f>
        <v>23</v>
      </c>
      <c r="C16" s="2"/>
      <c r="D16" s="2" t="s">
        <v>123</v>
      </c>
      <c r="E16" s="2">
        <f>COUNTIF(QA_Review!B2:B76,D16)</f>
        <v>8</v>
      </c>
      <c r="F16" s="2">
        <f>COUNTIFS(QA_Review!B2:B76,D16,QA_Review!F2:F76,"Corrected")</f>
        <v>6</v>
      </c>
      <c r="G16" s="8">
        <f t="shared" si="0"/>
        <v>0.75</v>
      </c>
    </row>
    <row r="17" spans="1:7" ht="15">
      <c r="A17" s="2" t="s">
        <v>418</v>
      </c>
      <c r="B17" s="2">
        <f>COUNTIF(QA_Review!G2:G76,A17)</f>
        <v>0</v>
      </c>
      <c r="C17" s="2"/>
      <c r="D17" s="2" t="s">
        <v>148</v>
      </c>
      <c r="E17" s="2">
        <f>COUNTIF(QA_Review!B2:B76,D17)</f>
        <v>8</v>
      </c>
      <c r="F17" s="2">
        <f>COUNTIFS(QA_Review!B2:B76,D17,QA_Review!F2:F76,"Corrected")</f>
        <v>3</v>
      </c>
      <c r="G17" s="8">
        <f t="shared" si="0"/>
        <v>0.375</v>
      </c>
    </row>
    <row r="18" spans="1:7" ht="15">
      <c r="A18" s="2" t="s">
        <v>310</v>
      </c>
      <c r="B18" s="2">
        <f>COUNTIF(QA_Review!G2:G76,A18)</f>
        <v>2</v>
      </c>
      <c r="C18" s="2"/>
      <c r="D18" s="2" t="s">
        <v>173</v>
      </c>
      <c r="E18" s="2">
        <f>COUNTIF(QA_Review!B2:B76,D18)</f>
        <v>8</v>
      </c>
      <c r="F18" s="2">
        <f>COUNTIFS(QA_Review!B2:B76,D18,QA_Review!F2:F76,"Corrected")</f>
        <v>7</v>
      </c>
      <c r="G18" s="8">
        <f t="shared" si="0"/>
        <v>0.875</v>
      </c>
    </row>
    <row r="19" spans="1:7" ht="15">
      <c r="A19" s="2" t="s">
        <v>262</v>
      </c>
      <c r="B19" s="2">
        <f>COUNTIF(QA_Review!G2:G76,A19)</f>
        <v>30</v>
      </c>
      <c r="C19" s="2"/>
      <c r="D19" s="2" t="s">
        <v>198</v>
      </c>
      <c r="E19" s="2">
        <f>COUNTIF(QA_Review!B2:B76,D19)</f>
        <v>6</v>
      </c>
      <c r="F19" s="2">
        <f>COUNTIFS(QA_Review!B2:B76,D19,QA_Review!F2:F76,"Corrected")</f>
        <v>4</v>
      </c>
      <c r="G19" s="8">
        <f t="shared" si="0"/>
        <v>0.66666666666666663</v>
      </c>
    </row>
    <row r="20" spans="1:7" ht="15">
      <c r="A20" s="2"/>
      <c r="B20" s="2"/>
      <c r="C20" s="2"/>
      <c r="D20" s="2" t="s">
        <v>217</v>
      </c>
      <c r="E20" s="2">
        <f>COUNTIF(QA_Review!B2:B76,D20)</f>
        <v>4</v>
      </c>
      <c r="F20" s="2">
        <f>COUNTIFS(QA_Review!B2:B76,D20,QA_Review!F2:F76,"Corrected")</f>
        <v>4</v>
      </c>
      <c r="G20" s="8">
        <f t="shared" si="0"/>
        <v>1</v>
      </c>
    </row>
    <row r="21" spans="1:7" ht="15">
      <c r="A21" s="2"/>
      <c r="B21" s="2"/>
      <c r="C21" s="2"/>
      <c r="D21" s="2" t="s">
        <v>230</v>
      </c>
      <c r="E21" s="2">
        <f>COUNTIF(QA_Review!B2:B76,D21)</f>
        <v>3</v>
      </c>
      <c r="F21" s="2">
        <f>COUNTIFS(QA_Review!B2:B76,D21,QA_Review!F2:F76,"Corrected")</f>
        <v>3</v>
      </c>
      <c r="G21" s="8">
        <f t="shared" si="0"/>
        <v>1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0"/>
  <sheetViews>
    <sheetView tabSelected="1" topLeftCell="A15" workbookViewId="0">
      <selection activeCell="Q31" sqref="Q31"/>
    </sheetView>
  </sheetViews>
  <sheetFormatPr baseColWidth="10" defaultColWidth="8.83203125" defaultRowHeight="14"/>
  <cols>
    <col min="1" max="12" width="12" customWidth="1"/>
  </cols>
  <sheetData>
    <row r="1" spans="1:12" ht="26.75" customHeight="1">
      <c r="A1" s="12" t="s">
        <v>419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6.7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26.75" customHeight="1">
      <c r="A3" s="13" t="str">
        <f>"Reviewed"&amp;CHAR(10)&amp;QA_Analysis!B4</f>
        <v>Reviewed
75</v>
      </c>
      <c r="B3" s="14"/>
      <c r="C3" s="15"/>
      <c r="D3" s="13" t="str">
        <f>"Approved"&amp;CHAR(10)&amp;QA_Analysis!B5</f>
        <v>Approved
30</v>
      </c>
      <c r="E3" s="14"/>
      <c r="F3" s="15"/>
      <c r="G3" s="13" t="str">
        <f>"Corrected"&amp;CHAR(10)&amp;QA_Analysis!B6</f>
        <v>Corrected
45</v>
      </c>
      <c r="H3" s="14"/>
      <c r="I3" s="15"/>
      <c r="J3" s="13" t="str">
        <f>"Approval Rate"&amp;CHAR(10)&amp;TEXT(QA_Analysis!B7,"0.0%")</f>
        <v>Approval Rate
40.0%</v>
      </c>
      <c r="K3" s="14"/>
      <c r="L3" s="15"/>
    </row>
    <row r="4" spans="1:12" ht="26.75" customHeight="1">
      <c r="A4" s="16"/>
      <c r="B4" s="17"/>
      <c r="C4" s="18"/>
      <c r="D4" s="16"/>
      <c r="E4" s="17"/>
      <c r="F4" s="18"/>
      <c r="G4" s="16"/>
      <c r="H4" s="17"/>
      <c r="I4" s="18"/>
      <c r="J4" s="16"/>
      <c r="K4" s="17"/>
      <c r="L4" s="18"/>
    </row>
    <row r="5" spans="1:12" ht="26.75" customHeight="1">
      <c r="A5" s="19"/>
      <c r="B5" s="20"/>
      <c r="C5" s="21"/>
      <c r="D5" s="19"/>
      <c r="E5" s="20"/>
      <c r="F5" s="21"/>
      <c r="G5" s="19"/>
      <c r="H5" s="20"/>
      <c r="I5" s="21"/>
      <c r="J5" s="19"/>
      <c r="K5" s="20"/>
      <c r="L5" s="21"/>
    </row>
    <row r="6" spans="1:12" ht="26.75" customHeight="1">
      <c r="A6" t="str">
        <f>QA_Analysis!A11</f>
        <v>Error Type</v>
      </c>
      <c r="B6" t="str">
        <f>QA_Analysis!B11</f>
        <v>Count</v>
      </c>
      <c r="D6" t="str">
        <f>QA_Analysis!D3</f>
        <v>Severity</v>
      </c>
      <c r="E6" t="str">
        <f>QA_Analysis!E3</f>
        <v>Count</v>
      </c>
      <c r="G6" t="str">
        <f>QA_Analysis!D11</f>
        <v>Category</v>
      </c>
      <c r="H6" t="str">
        <f>QA_Analysis!G11</f>
        <v>Correction Rate</v>
      </c>
    </row>
    <row r="7" spans="1:12" ht="26.75" customHeight="1">
      <c r="A7" t="str">
        <f>QA_Analysis!A12</f>
        <v>Accuracy</v>
      </c>
      <c r="B7">
        <f>QA_Analysis!B12</f>
        <v>1</v>
      </c>
      <c r="D7" t="str">
        <f>QA_Analysis!D4</f>
        <v>Major</v>
      </c>
      <c r="E7">
        <f>QA_Analysis!E4</f>
        <v>13</v>
      </c>
      <c r="G7" t="str">
        <f>QA_Analysis!D12</f>
        <v>Account</v>
      </c>
      <c r="H7" s="9">
        <f>QA_Analysis!G12</f>
        <v>0.5</v>
      </c>
    </row>
    <row r="8" spans="1:12" ht="26.75" customHeight="1">
      <c r="A8" t="str">
        <f>QA_Analysis!A13</f>
        <v>Grammar</v>
      </c>
      <c r="B8">
        <f>QA_Analysis!B13</f>
        <v>3</v>
      </c>
      <c r="D8" t="str">
        <f>QA_Analysis!D5</f>
        <v>Minor</v>
      </c>
      <c r="E8">
        <f>QA_Analysis!E5</f>
        <v>32</v>
      </c>
      <c r="G8" t="str">
        <f>QA_Analysis!D13</f>
        <v>Orders</v>
      </c>
      <c r="H8" s="9">
        <f>QA_Analysis!G13</f>
        <v>0.4</v>
      </c>
    </row>
    <row r="9" spans="1:12" ht="26.75" customHeight="1">
      <c r="A9" t="str">
        <f>QA_Analysis!A14</f>
        <v>Terminology</v>
      </c>
      <c r="B9">
        <f>QA_Analysis!B14</f>
        <v>11</v>
      </c>
      <c r="G9" t="str">
        <f>QA_Analysis!D14</f>
        <v>Checkout</v>
      </c>
      <c r="H9" s="9">
        <f>QA_Analysis!G14</f>
        <v>0.6</v>
      </c>
    </row>
    <row r="10" spans="1:12" ht="26.75" customHeight="1">
      <c r="A10" t="str">
        <f>QA_Analysis!A15</f>
        <v>Tone/Register</v>
      </c>
      <c r="B10">
        <f>QA_Analysis!B15</f>
        <v>5</v>
      </c>
      <c r="G10" t="str">
        <f>QA_Analysis!D15</f>
        <v>Shipping</v>
      </c>
      <c r="H10" s="9">
        <f>QA_Analysis!G15</f>
        <v>0.375</v>
      </c>
    </row>
    <row r="11" spans="1:12" ht="26.75" customHeight="1">
      <c r="A11" t="str">
        <f>QA_Analysis!A16</f>
        <v>Naturalness</v>
      </c>
      <c r="B11">
        <f>QA_Analysis!B16</f>
        <v>23</v>
      </c>
      <c r="G11" t="str">
        <f>QA_Analysis!D16</f>
        <v>Returns &amp; Refunds</v>
      </c>
      <c r="H11" s="9">
        <f>QA_Analysis!G16</f>
        <v>0.75</v>
      </c>
    </row>
    <row r="12" spans="1:12" ht="26.75" customHeight="1">
      <c r="A12" t="str">
        <f>QA_Analysis!A17</f>
        <v>Completeness</v>
      </c>
      <c r="B12">
        <f>QA_Analysis!B17</f>
        <v>0</v>
      </c>
      <c r="G12" t="str">
        <f>QA_Analysis!D17</f>
        <v>Subscriptions</v>
      </c>
      <c r="H12" s="9">
        <f>QA_Analysis!G17</f>
        <v>0.375</v>
      </c>
    </row>
    <row r="13" spans="1:12" ht="26.75" customHeight="1">
      <c r="A13" t="str">
        <f>QA_Analysis!A18</f>
        <v>Formatting</v>
      </c>
      <c r="B13">
        <f>QA_Analysis!B18</f>
        <v>2</v>
      </c>
      <c r="G13" t="str">
        <f>QA_Analysis!D18</f>
        <v>Customer Support</v>
      </c>
      <c r="H13" s="9">
        <f>QA_Analysis!G18</f>
        <v>0.875</v>
      </c>
    </row>
    <row r="14" spans="1:12" ht="26.75" customHeight="1">
      <c r="A14" t="str">
        <f>QA_Analysis!A19</f>
        <v>None</v>
      </c>
      <c r="B14">
        <f>QA_Analysis!B19</f>
        <v>30</v>
      </c>
      <c r="G14" t="str">
        <f>QA_Analysis!D19</f>
        <v>Security &amp; Privacy</v>
      </c>
      <c r="H14" s="9">
        <f>QA_Analysis!G19</f>
        <v>0.66666666666666663</v>
      </c>
    </row>
    <row r="15" spans="1:12" ht="26.75" customHeight="1">
      <c r="G15" t="str">
        <f>QA_Analysis!D20</f>
        <v>Notifications</v>
      </c>
      <c r="H15" s="9">
        <f>QA_Analysis!G20</f>
        <v>1</v>
      </c>
    </row>
    <row r="16" spans="1:12" ht="26.75" customHeight="1">
      <c r="G16" t="str">
        <f>QA_Analysis!D21</f>
        <v>General</v>
      </c>
      <c r="H16" s="9">
        <f>QA_Analysis!G21</f>
        <v>1</v>
      </c>
    </row>
    <row r="17" ht="26.75" customHeight="1"/>
    <row r="18" ht="26.75" customHeight="1"/>
    <row r="19" ht="26.75" customHeight="1"/>
    <row r="20" ht="26.75" customHeight="1"/>
    <row r="21" ht="26.75" customHeight="1"/>
    <row r="22" ht="26.75" customHeight="1"/>
    <row r="23" ht="26.75" customHeight="1"/>
    <row r="24" ht="26.75" customHeight="1"/>
    <row r="25" ht="26.75" customHeight="1"/>
    <row r="26" ht="26.75" customHeight="1"/>
    <row r="27" ht="26.75" customHeight="1"/>
    <row r="28" ht="26.75" customHeight="1"/>
    <row r="29" ht="26.75" customHeight="1"/>
    <row r="30" ht="26.75" customHeight="1"/>
    <row r="31" ht="26.75" customHeight="1"/>
    <row r="32" ht="26.75" customHeight="1"/>
    <row r="33" spans="1:12" ht="26.75" customHeight="1"/>
    <row r="34" spans="1:12" ht="26.75" customHeight="1"/>
    <row r="35" spans="1:12" ht="26.75" customHeight="1"/>
    <row r="36" spans="1:12" ht="26.75" customHeight="1"/>
    <row r="37" spans="1:12" ht="26.75" customHeight="1"/>
    <row r="38" spans="1:12" ht="40" customHeight="1">
      <c r="A38" s="22" t="s">
        <v>420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ht="26.75" customHeight="1"/>
    <row r="40" spans="1:12" ht="26.75" customHeight="1"/>
  </sheetData>
  <mergeCells count="6">
    <mergeCell ref="A38:L38"/>
    <mergeCell ref="A1:L2"/>
    <mergeCell ref="A3:C5"/>
    <mergeCell ref="D3:F5"/>
    <mergeCell ref="G3:I5"/>
    <mergeCell ref="J3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Raw_Client_Data</vt:lpstr>
      <vt:lpstr>Client_Brief</vt:lpstr>
      <vt:lpstr>QA_Review</vt:lpstr>
      <vt:lpstr>Terminology_Style_Guide</vt:lpstr>
      <vt:lpstr>QA_Analysis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Joaquin Amores</cp:lastModifiedBy>
  <dcterms:modified xsi:type="dcterms:W3CDTF">2026-08-16T02:44:48Z</dcterms:modified>
</cp:coreProperties>
</file>